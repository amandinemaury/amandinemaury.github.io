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amandine_maury_etuunivpoitiersfr_onmicrosoft_com/Documents/"/>
    </mc:Choice>
  </mc:AlternateContent>
  <xr:revisionPtr revIDLastSave="2" documentId="8_{02987913-EED2-41B4-A3A2-6337C7F7B851}" xr6:coauthVersionLast="47" xr6:coauthVersionMax="47" xr10:uidLastSave="{C58048AD-536E-4082-871C-33ACFB888F68}"/>
  <bookViews>
    <workbookView xWindow="-120" yWindow="-120" windowWidth="29040" windowHeight="15720" xr2:uid="{5EAEB292-0914-4FF9-8554-448550EB0455}"/>
  </bookViews>
  <sheets>
    <sheet name="Menu" sheetId="3" r:id="rId1"/>
    <sheet name="Feuil2" sheetId="10" r:id="rId2"/>
    <sheet name="graphiques" sheetId="11" r:id="rId3"/>
    <sheet name="recapitulatif" sheetId="9" r:id="rId4"/>
    <sheet name="semestre1 (2)" sheetId="13" r:id="rId5"/>
    <sheet name="semestre1" sheetId="7" r:id="rId6"/>
    <sheet name="semestre2 (2)" sheetId="12" r:id="rId7"/>
    <sheet name="semestre2" sheetId="8" r:id="rId8"/>
    <sheet name="competence" sheetId="6" r:id="rId9"/>
  </sheets>
  <definedNames>
    <definedName name="coeffs">#REF!</definedName>
    <definedName name="Semestre_1">competence!$A$2:$M$19</definedName>
    <definedName name="Semestre_2">competence!$A$20:$M$46</definedName>
  </definedNames>
  <calcPr calcId="191028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9" l="1" a="1"/>
  <c r="C4" i="9"/>
  <c r="D4" i="9"/>
  <c r="E4" i="9"/>
  <c r="B4" i="9"/>
  <c r="I17" i="13"/>
  <c r="I16" i="13"/>
  <c r="I15" i="13"/>
  <c r="I14" i="13"/>
  <c r="I13" i="13"/>
  <c r="I12" i="13"/>
  <c r="J12" i="13" s="1"/>
  <c r="I11" i="13"/>
  <c r="I10" i="13"/>
  <c r="I9" i="13"/>
  <c r="I8" i="13"/>
  <c r="J8" i="13" s="1"/>
  <c r="D7" i="13"/>
  <c r="I7" i="13" s="1"/>
  <c r="I6" i="13"/>
  <c r="I5" i="13"/>
  <c r="I4" i="13"/>
  <c r="I3" i="13"/>
  <c r="J3" i="13" s="1"/>
  <c r="J2" i="13"/>
  <c r="I2" i="13"/>
  <c r="D7" i="7"/>
  <c r="I7" i="7"/>
  <c r="J3" i="7" s="1"/>
  <c r="I20" i="12"/>
  <c r="I19" i="12"/>
  <c r="I18" i="12"/>
  <c r="I17" i="12"/>
  <c r="J17" i="12" s="1"/>
  <c r="I16" i="12"/>
  <c r="I15" i="12"/>
  <c r="I14" i="12"/>
  <c r="I13" i="12"/>
  <c r="I12" i="12"/>
  <c r="I11" i="12"/>
  <c r="J11" i="12" s="1"/>
  <c r="I10" i="12"/>
  <c r="I9" i="12"/>
  <c r="I8" i="12"/>
  <c r="I7" i="12"/>
  <c r="I6" i="12"/>
  <c r="J6" i="12" s="1"/>
  <c r="I5" i="12"/>
  <c r="I4" i="12"/>
  <c r="J2" i="12" s="1"/>
  <c r="I3" i="12"/>
  <c r="I2" i="12"/>
  <c r="J2" i="7"/>
  <c r="J17" i="8"/>
  <c r="J11" i="8"/>
  <c r="J6" i="8"/>
  <c r="J2" i="8"/>
  <c r="J12" i="7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I2" i="8"/>
  <c r="I17" i="7"/>
  <c r="I16" i="7"/>
  <c r="I15" i="7"/>
  <c r="I14" i="7"/>
  <c r="I13" i="7"/>
  <c r="I12" i="7"/>
  <c r="I11" i="7"/>
  <c r="I10" i="7"/>
  <c r="I9" i="7"/>
  <c r="I8" i="7"/>
  <c r="I6" i="7"/>
  <c r="I5" i="7"/>
  <c r="I4" i="7"/>
  <c r="I3" i="7"/>
  <c r="I2" i="7"/>
  <c r="J8" i="7" l="1"/>
  <c r="I46" i="6"/>
  <c r="I45" i="6"/>
  <c r="I44" i="6"/>
  <c r="I43" i="6"/>
  <c r="I42" i="6"/>
  <c r="I41" i="6"/>
  <c r="I40" i="6"/>
  <c r="I39" i="6"/>
  <c r="J39" i="6" s="1"/>
  <c r="I38" i="6"/>
  <c r="I37" i="6"/>
  <c r="I36" i="6"/>
  <c r="I35" i="6"/>
  <c r="I34" i="6"/>
  <c r="I33" i="6"/>
  <c r="I32" i="6"/>
  <c r="I31" i="6"/>
  <c r="I30" i="6"/>
  <c r="I29" i="6"/>
  <c r="J29" i="6" s="1"/>
  <c r="I28" i="6"/>
  <c r="I27" i="6"/>
  <c r="I26" i="6"/>
  <c r="I25" i="6"/>
  <c r="I24" i="6"/>
  <c r="I23" i="6"/>
  <c r="I22" i="6"/>
  <c r="I21" i="6"/>
  <c r="I20" i="6"/>
  <c r="J20" i="6" s="1"/>
  <c r="I19" i="6"/>
  <c r="I18" i="6"/>
  <c r="I17" i="6"/>
  <c r="I16" i="6"/>
  <c r="I15" i="6"/>
  <c r="I14" i="6"/>
  <c r="I13" i="6"/>
  <c r="J13" i="6" s="1"/>
  <c r="I12" i="6"/>
  <c r="I11" i="6"/>
  <c r="I10" i="6"/>
  <c r="I9" i="6"/>
  <c r="I8" i="6"/>
  <c r="J8" i="6" s="1"/>
  <c r="I7" i="6"/>
  <c r="I6" i="6"/>
  <c r="I5" i="6"/>
  <c r="I4" i="6"/>
  <c r="I3" i="6"/>
  <c r="I2" i="6"/>
  <c r="J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<sst xmlns="http://schemas.openxmlformats.org/spreadsheetml/2006/main" count="525" uniqueCount="88">
  <si>
    <t>Enseignants</t>
  </si>
  <si>
    <t>H.Bieber</t>
  </si>
  <si>
    <t>PPP2</t>
  </si>
  <si>
    <t>L.Bureau</t>
  </si>
  <si>
    <t>G.Ceuterickx F.Garnier</t>
  </si>
  <si>
    <t>F.Garnier</t>
  </si>
  <si>
    <t>Bases de la programmation 2</t>
  </si>
  <si>
    <t>L.Ali</t>
  </si>
  <si>
    <t>Probabilités 2</t>
  </si>
  <si>
    <t>S.Laurent L.Ali</t>
  </si>
  <si>
    <t>Approfondissement de l'anglais de spécialité</t>
  </si>
  <si>
    <t>S.Laurent V.Vallée</t>
  </si>
  <si>
    <t>PPP1</t>
  </si>
  <si>
    <t>Bases de données relationnelles 2</t>
  </si>
  <si>
    <t>Bases de la programmation 1</t>
  </si>
  <si>
    <t>Programmation statistique</t>
  </si>
  <si>
    <t>Reporting et datavisualisation</t>
  </si>
  <si>
    <t>SAE - Analyse de données, reporting et datavisualisation</t>
  </si>
  <si>
    <t>SAE - Datavisualisation</t>
  </si>
  <si>
    <t>SAE - Portfolio</t>
  </si>
  <si>
    <t>Mathématiques - Analyse</t>
  </si>
  <si>
    <t>SAE - Préparation et synthèse d'un tableau de données en vue d'une analyse exploratoire simple</t>
  </si>
  <si>
    <t>Statistique descriptive 2</t>
  </si>
  <si>
    <t>Initiation à l'anglais de spécialité</t>
  </si>
  <si>
    <t>Bases de l’algèbre</t>
  </si>
  <si>
    <t>Communication de l'information et recherche documentaire</t>
  </si>
  <si>
    <t>SAE - Estimation par échantillonnage</t>
  </si>
  <si>
    <t>SAE - Apprendre en situation la production de données en entreprise</t>
  </si>
  <si>
    <t>SAE - Régression sur des données réelles</t>
  </si>
  <si>
    <t>SAE - Présentation en anglais d'un territoire économique et culturel</t>
  </si>
  <si>
    <t>SAE - Mise en œuvre d'une enquête</t>
  </si>
  <si>
    <t xml:space="preserve">Communication et sémiologie </t>
  </si>
  <si>
    <t>Etude des données de l'environnement entrepreneurial et économique</t>
  </si>
  <si>
    <t>SAE - Construction et présentation d’indicateurs de performance</t>
  </si>
  <si>
    <t>Semestre</t>
  </si>
  <si>
    <t>Compétences</t>
  </si>
  <si>
    <t>Matières</t>
  </si>
  <si>
    <t>Note 1</t>
  </si>
  <si>
    <t>Note 2</t>
  </si>
  <si>
    <t>Note 3</t>
  </si>
  <si>
    <t>Note 4</t>
  </si>
  <si>
    <t>Note 5</t>
  </si>
  <si>
    <t>Moyenne matière</t>
  </si>
  <si>
    <t>Moyenne compétence</t>
  </si>
  <si>
    <t>Référents SAE</t>
  </si>
  <si>
    <t>Coeffs</t>
  </si>
  <si>
    <t>Semestre 1</t>
  </si>
  <si>
    <t>Traiter des données à des fins décisionnelles</t>
  </si>
  <si>
    <t>H. Bieber</t>
  </si>
  <si>
    <t>Tableur et Reporting</t>
  </si>
  <si>
    <t>L. Bureau F.Garnier</t>
  </si>
  <si>
    <t>L. Bureau</t>
  </si>
  <si>
    <t>Bases de données relationnelles 1</t>
  </si>
  <si>
    <t>F. Garnier</t>
  </si>
  <si>
    <t>SAE - Reporting à partir de données stockées dans un SGBD relationnel</t>
  </si>
  <si>
    <t>F. Garnier L.Bureau</t>
  </si>
  <si>
    <t>SAE - Ecriture et lecture de fichiers de données</t>
  </si>
  <si>
    <t>Analyser statistiquement les données</t>
  </si>
  <si>
    <t>Statistique descriptive 1</t>
  </si>
  <si>
    <t>L. Ali</t>
  </si>
  <si>
    <t>Probabilités 1</t>
  </si>
  <si>
    <t>M. Ibazizen</t>
  </si>
  <si>
    <t>S.laurent</t>
  </si>
  <si>
    <t>Valoriser une production dans un contexte professionnel</t>
  </si>
  <si>
    <t>E. Payet</t>
  </si>
  <si>
    <t>Découverte des données de l’environnement entrepreneurial et économique</t>
  </si>
  <si>
    <t>S. Laurent</t>
  </si>
  <si>
    <t>Semestre 2</t>
  </si>
  <si>
    <r>
      <t>PPP</t>
    </r>
    <r>
      <rPr>
        <sz val="9"/>
        <color rgb="FF000000"/>
        <rFont val="Arial"/>
      </rPr>
      <t xml:space="preserve"> 2</t>
    </r>
  </si>
  <si>
    <t>H. Bieber N.Huche N.Pétard</t>
  </si>
  <si>
    <t>A.Jacques L.bureau</t>
  </si>
  <si>
    <t>T. Agbahougbata
L. Bureau</t>
  </si>
  <si>
    <r>
      <t>SAE - Analyse de données, reporting et</t>
    </r>
    <r>
      <rPr>
        <sz val="9"/>
        <color rgb="FF000000"/>
        <rFont val="Arial"/>
      </rPr>
      <t xml:space="preserve"> datavisualisation</t>
    </r>
  </si>
  <si>
    <t>S. Abboud
F. Garnier
L. Bureau</t>
  </si>
  <si>
    <t>SAE - Conception et implémentation d'une base de données</t>
  </si>
  <si>
    <t>Statistique inférentielle</t>
  </si>
  <si>
    <t>A. Quintard</t>
  </si>
  <si>
    <t>Compétences transversales</t>
  </si>
  <si>
    <t>nombre de notes</t>
  </si>
  <si>
    <t>note</t>
  </si>
  <si>
    <t>comptétence</t>
  </si>
  <si>
    <t>Étiquettes de lignes</t>
  </si>
  <si>
    <t>Total général</t>
  </si>
  <si>
    <t>Nombre de Traiter des données à des fins décisionnelles</t>
  </si>
  <si>
    <t>Nombre de Compétences transversales</t>
  </si>
  <si>
    <t>Nombre de Analyser statistiquement les données</t>
  </si>
  <si>
    <t>Nombre de Valoriser une production dans un contexte professionnel</t>
  </si>
  <si>
    <t>semestre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</si>
</sst>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"/>
      <color theme="1"/>
      <name val="Arial"/>
      <family val="2"/>
    </font>
    <font>
      <sz val="9"/>
      <color theme="1"/>
      <name val="Arial"/>
    </font>
    <font>
      <sz val="9"/>
      <color theme="1"/>
      <name val="Arial"/>
      <family val="2"/>
    </font>
    <font>
      <sz val="9"/>
      <color rgb="FF000000"/>
      <name val="Arial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977D"/>
        <bgColor indexed="64"/>
      </patternFill>
    </fill>
    <fill>
      <patternFill patternType="solid">
        <fgColor rgb="FFFFBE60"/>
        <bgColor indexed="64"/>
      </patternFill>
    </fill>
    <fill>
      <patternFill patternType="solid">
        <fgColor rgb="FFFEDA6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57755"/>
        <bgColor indexed="64"/>
      </patternFill>
    </fill>
    <fill>
      <patternFill patternType="solid">
        <fgColor rgb="FFFFA219"/>
        <bgColor indexed="64"/>
      </patternFill>
    </fill>
    <fill>
      <patternFill patternType="solid">
        <fgColor rgb="FFFEC81A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0" borderId="1"/>
    <xf numFmtId="0" fontId="1" fillId="0" borderId="0" applyFill="0" applyBorder="0" applyAlignment="0">
      <alignment horizontal="center" vertical="center"/>
    </xf>
  </cellStyleXfs>
  <cellXfs count="75">
    <xf numFmtId="0" fontId="0" fillId="0" borderId="0" xfId="0"/>
    <xf numFmtId="0" fontId="0" fillId="0" borderId="2" xfId="0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3" fillId="4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" fillId="5" borderId="2" xfId="0" applyFont="1" applyFill="1" applyBorder="1" applyAlignment="1">
      <alignment vertical="center" wrapText="1"/>
    </xf>
    <xf numFmtId="0" fontId="5" fillId="6" borderId="2" xfId="0" applyFont="1" applyFill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7" borderId="2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5" fillId="4" borderId="2" xfId="0" applyFont="1" applyFill="1" applyBorder="1" applyAlignment="1">
      <alignment vertical="center" wrapText="1"/>
    </xf>
    <xf numFmtId="0" fontId="0" fillId="13" borderId="2" xfId="0" applyFill="1" applyBorder="1" applyAlignment="1">
      <alignment horizontal="center"/>
    </xf>
    <xf numFmtId="0" fontId="0" fillId="12" borderId="2" xfId="0" applyFill="1" applyBorder="1" applyAlignment="1">
      <alignment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4" borderId="2" xfId="0" applyFill="1" applyBorder="1" applyAlignment="1">
      <alignment horizontal="center" vertical="center" wrapText="1"/>
    </xf>
    <xf numFmtId="2" fontId="3" fillId="3" borderId="2" xfId="0" applyNumberFormat="1" applyFont="1" applyFill="1" applyBorder="1" applyAlignment="1">
      <alignment vertical="center" wrapText="1"/>
    </xf>
    <xf numFmtId="2" fontId="3" fillId="14" borderId="2" xfId="0" applyNumberFormat="1" applyFont="1" applyFill="1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6" borderId="2" xfId="0" applyFill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2" fontId="3" fillId="5" borderId="2" xfId="0" applyNumberFormat="1" applyFont="1" applyFill="1" applyBorder="1" applyAlignment="1">
      <alignment vertical="center" wrapText="1"/>
    </xf>
    <xf numFmtId="2" fontId="3" fillId="6" borderId="2" xfId="0" applyNumberFormat="1" applyFont="1" applyFill="1" applyBorder="1" applyAlignment="1">
      <alignment vertical="center" wrapText="1"/>
    </xf>
    <xf numFmtId="2" fontId="3" fillId="7" borderId="2" xfId="0" applyNumberFormat="1" applyFont="1" applyFill="1" applyBorder="1" applyAlignment="1">
      <alignment vertical="center" wrapText="1"/>
    </xf>
    <xf numFmtId="2" fontId="3" fillId="15" borderId="2" xfId="0" applyNumberFormat="1" applyFont="1" applyFill="1" applyBorder="1" applyAlignment="1">
      <alignment vertical="center" wrapText="1"/>
    </xf>
    <xf numFmtId="2" fontId="3" fillId="16" borderId="2" xfId="0" applyNumberFormat="1" applyFont="1" applyFill="1" applyBorder="1" applyAlignment="1">
      <alignment vertical="center" wrapText="1"/>
    </xf>
    <xf numFmtId="2" fontId="3" fillId="17" borderId="2" xfId="0" applyNumberFormat="1" applyFont="1" applyFill="1" applyBorder="1" applyAlignment="1">
      <alignment vertical="center" wrapText="1"/>
    </xf>
    <xf numFmtId="2" fontId="3" fillId="18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center"/>
    </xf>
    <xf numFmtId="2" fontId="3" fillId="5" borderId="2" xfId="0" applyNumberFormat="1" applyFont="1" applyFill="1" applyBorder="1" applyAlignment="1">
      <alignment horizontal="center" vertical="center" wrapText="1"/>
    </xf>
    <xf numFmtId="2" fontId="3" fillId="6" borderId="2" xfId="0" applyNumberFormat="1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2" fontId="3" fillId="7" borderId="2" xfId="0" applyNumberFormat="1" applyFont="1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2" fontId="3" fillId="16" borderId="2" xfId="0" applyNumberFormat="1" applyFont="1" applyFill="1" applyBorder="1" applyAlignment="1">
      <alignment horizontal="center" vertical="center" wrapText="1"/>
    </xf>
    <xf numFmtId="2" fontId="3" fillId="15" borderId="2" xfId="0" applyNumberFormat="1" applyFont="1" applyFill="1" applyBorder="1" applyAlignment="1">
      <alignment horizontal="center" vertical="center" wrapText="1"/>
    </xf>
    <xf numFmtId="2" fontId="3" fillId="17" borderId="2" xfId="0" applyNumberFormat="1" applyFont="1" applyFill="1" applyBorder="1" applyAlignment="1">
      <alignment horizontal="center" vertical="center" wrapText="1"/>
    </xf>
    <xf numFmtId="2" fontId="3" fillId="18" borderId="2" xfId="0" applyNumberFormat="1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</cellXfs>
  <cellStyles count="3">
    <cellStyle name="Normal" xfId="0" builtinId="0"/>
    <cellStyle name="Style 1" xfId="1" xr:uid="{FEACC2E9-DDF9-4B01-B720-C2BF1E81E3AF}"/>
    <cellStyle name="Style 2" xfId="2" xr:uid="{2B58E7F5-C017-4548-874D-640088B8CE0E}"/>
  </cellStyles>
  <dxfs count="4"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[sae tableur et reporting amandine alban.xlsm]Feuil2!Tableau croisé dynamique1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Nombre de Compétences transversales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Feuil2!$B$4:$B$5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A-42E0-A2BF-A6CEC1AA7015}"/>
            </c:ext>
          </c:extLst>
        </c:ser>
        <c:ser>
          <c:idx val="1"/>
          <c:order val="1"/>
          <c:tx>
            <c:strRef>
              <c:f>Feuil2!$C$3</c:f>
              <c:strCache>
                <c:ptCount val="1"/>
                <c:pt idx="0">
                  <c:v>Nombre de Analyser statistiquement les données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Feuil2!$C$4:$C$5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FA-42E0-A2BF-A6CEC1AA7015}"/>
            </c:ext>
          </c:extLst>
        </c:ser>
        <c:ser>
          <c:idx val="2"/>
          <c:order val="2"/>
          <c:tx>
            <c:strRef>
              <c:f>Feuil2!$D$3</c:f>
              <c:strCache>
                <c:ptCount val="1"/>
                <c:pt idx="0">
                  <c:v>Nombre de Valoriser une production dans un contexte professionnel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Feuil2!$D$4:$D$5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FA-42E0-A2BF-A6CEC1AA7015}"/>
            </c:ext>
          </c:extLst>
        </c:ser>
        <c:ser>
          <c:idx val="3"/>
          <c:order val="3"/>
          <c:tx>
            <c:strRef>
              <c:f>Feuil2!$E$3</c:f>
              <c:strCache>
                <c:ptCount val="1"/>
                <c:pt idx="0">
                  <c:v>Nombre de Traiter des données à des fins décisionnelles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Feuil2!$E$4:$E$5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FA-42E0-A2BF-A6CEC1AA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1896895"/>
        <c:axId val="1231897311"/>
      </c:barChart>
      <c:catAx>
        <c:axId val="123189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1897311"/>
        <c:crosses val="autoZero"/>
        <c:auto val="1"/>
        <c:lblAlgn val="ctr"/>
        <c:lblOffset val="100"/>
        <c:noMultiLvlLbl val="0"/>
      </c:catAx>
      <c:valAx>
        <c:axId val="123189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189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[sae tableur et reporting amandine alban.xlsm]Feuil2!Tableau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Nombre de Compétences transversales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Feuil2!$B$4:$B$5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9-4684-89E4-664B2A9E63E5}"/>
            </c:ext>
          </c:extLst>
        </c:ser>
        <c:ser>
          <c:idx val="1"/>
          <c:order val="1"/>
          <c:tx>
            <c:strRef>
              <c:f>Feuil2!$C$3</c:f>
              <c:strCache>
                <c:ptCount val="1"/>
                <c:pt idx="0">
                  <c:v>Nombre de Analyser statistiquement les données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Feuil2!$C$4:$C$5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C9-4684-89E4-664B2A9E63E5}"/>
            </c:ext>
          </c:extLst>
        </c:ser>
        <c:ser>
          <c:idx val="2"/>
          <c:order val="2"/>
          <c:tx>
            <c:strRef>
              <c:f>Feuil2!$D$3</c:f>
              <c:strCache>
                <c:ptCount val="1"/>
                <c:pt idx="0">
                  <c:v>Nombre de Valoriser une production dans un contexte professionnel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Feuil2!$D$4:$D$5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C9-4684-89E4-664B2A9E63E5}"/>
            </c:ext>
          </c:extLst>
        </c:ser>
        <c:ser>
          <c:idx val="3"/>
          <c:order val="3"/>
          <c:tx>
            <c:strRef>
              <c:f>Feuil2!$E$3</c:f>
              <c:strCache>
                <c:ptCount val="1"/>
                <c:pt idx="0">
                  <c:v>Nombre de Traiter des données à des fins décisionnelles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Feuil2!$A$4:$A$5</c:f>
              <c:strCache>
                <c:ptCount val="1"/>
                <c:pt idx="0">
                  <c:v>note</c:v>
                </c:pt>
              </c:strCache>
            </c:strRef>
          </c:cat>
          <c:val>
            <c:numRef>
              <c:f>Feuil2!$E$4:$E$5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C9-4684-89E4-664B2A9E6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1896895"/>
        <c:axId val="1231897311"/>
      </c:barChart>
      <c:catAx>
        <c:axId val="123189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1897311"/>
        <c:crosses val="autoZero"/>
        <c:auto val="1"/>
        <c:lblAlgn val="ctr"/>
        <c:lblOffset val="100"/>
        <c:noMultiLvlLbl val="0"/>
      </c:catAx>
      <c:valAx>
        <c:axId val="123189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3189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9525</xdr:rowOff>
        </xdr:from>
        <xdr:to>
          <xdr:col>6</xdr:col>
          <xdr:colOff>600075</xdr:colOff>
          <xdr:row>15</xdr:row>
          <xdr:rowOff>152400</xdr:rowOff>
        </xdr:to>
        <xdr:sp macro="" textlink="">
          <xdr:nvSpPr>
            <xdr:cNvPr id="2050" name="btnOuvrirFor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</xdr:row>
          <xdr:rowOff>9525</xdr:rowOff>
        </xdr:from>
        <xdr:to>
          <xdr:col>9</xdr:col>
          <xdr:colOff>552450</xdr:colOff>
          <xdr:row>15</xdr:row>
          <xdr:rowOff>133350</xdr:rowOff>
        </xdr:to>
        <xdr:sp macro="" textlink="">
          <xdr:nvSpPr>
            <xdr:cNvPr id="2051" name="btnJur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13</xdr:col>
      <xdr:colOff>723900</xdr:colOff>
      <xdr:row>9</xdr:row>
      <xdr:rowOff>104775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1525" y="190500"/>
          <a:ext cx="9858375" cy="162877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38100"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352425</xdr:colOff>
      <xdr:row>2</xdr:row>
      <xdr:rowOff>171450</xdr:rowOff>
    </xdr:from>
    <xdr:to>
      <xdr:col>12</xdr:col>
      <xdr:colOff>285750</xdr:colOff>
      <xdr:row>7</xdr:row>
      <xdr:rowOff>76200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76425" y="552450"/>
          <a:ext cx="7553325" cy="857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/>
            <a:t>Bienvenu</a:t>
          </a:r>
          <a:r>
            <a:rPr lang="fr-FR" sz="2400" baseline="0"/>
            <a:t> sur notre application Gestion des notes du chef</a:t>
          </a:r>
        </a:p>
        <a:p>
          <a:pPr algn="ctr"/>
          <a:r>
            <a:rPr lang="fr-FR" sz="2400" baseline="0"/>
            <a:t>Le chef de la gestion des notes, c'est vous !	</a:t>
          </a:r>
          <a:endParaRPr lang="fr-FR" sz="2400"/>
        </a:p>
      </xdr:txBody>
    </xdr:sp>
    <xdr:clientData/>
  </xdr:twoCellAnchor>
  <xdr:twoCellAnchor>
    <xdr:from>
      <xdr:col>1</xdr:col>
      <xdr:colOff>19050</xdr:colOff>
      <xdr:row>25</xdr:row>
      <xdr:rowOff>0</xdr:rowOff>
    </xdr:from>
    <xdr:to>
      <xdr:col>13</xdr:col>
      <xdr:colOff>714375</xdr:colOff>
      <xdr:row>30</xdr:row>
      <xdr:rowOff>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81050" y="4762500"/>
          <a:ext cx="9839325" cy="9525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7</xdr:row>
      <xdr:rowOff>71437</xdr:rowOff>
    </xdr:from>
    <xdr:to>
      <xdr:col>3</xdr:col>
      <xdr:colOff>95250</xdr:colOff>
      <xdr:row>21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16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Bureau/sae%20tableur%20et%20reporting(R&#233;cup&#233;ration%20automatique)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URY AMANDINE" refreshedDate="46007.601501851852" createdVersion="7" refreshedVersion="7" minRefreshableVersion="3" recordCount="1" xr:uid="{E28DD0BE-9369-4BA6-AC96-94CB1C468491}">
  <cacheSource type="worksheet">
    <worksheetSource ref="A1:E2" sheet="recapitulatif" r:id="rId2"/>
  </cacheSource>
  <cacheFields count="5">
    <cacheField name="comptétence" numFmtId="0">
      <sharedItems count="1">
        <s v="note"/>
      </sharedItems>
    </cacheField>
    <cacheField name="Compétences transversales" numFmtId="0">
      <sharedItems count="1">
        <e v="#DIV/0!"/>
      </sharedItems>
    </cacheField>
    <cacheField name="Traiter des données à des fins décisionnelles" numFmtId="0">
      <sharedItems count="1">
        <e v="#DIV/0!"/>
      </sharedItems>
    </cacheField>
    <cacheField name="Analyser statistiquement les données" numFmtId="0">
      <sharedItems count="1">
        <e v="#DIV/0!"/>
      </sharedItems>
    </cacheField>
    <cacheField name="Valoriser une production dans un contexte professionnel" numFmtId="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145F39-AEA1-4338-9C84-B94246C12507}" name="Tableau croisé dynamique1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0">
  <location ref="A3:E5" firstHeaderRow="0" firstDataRow="1" firstDataCol="1"/>
  <pivotFields count="5">
    <pivotField axis="axisRow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ombre de Compétences transversales" fld="1" subtotal="count" baseField="0" baseItem="0"/>
    <dataField name="Nombre de Analyser statistiquement les données" fld="3" subtotal="count" baseField="0" baseItem="0"/>
    <dataField name="Nombre de Valoriser une production dans un contexte professionnel" fld="4" subtotal="count" baseField="0" baseItem="0"/>
    <dataField name="Nombre de Traiter des données à des fins décisionnelles" fld="2" subtotal="count" baseField="0" baseItem="0"/>
  </dataFields>
  <formats count="4"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3"/>
          </reference>
        </references>
      </pivotArea>
    </format>
  </formats>
  <chartFormats count="8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7B752-CC46-415D-84E5-96A6936DBDDC}">
  <sheetPr codeName="Menu"/>
  <dimension ref="A1"/>
  <sheetViews>
    <sheetView tabSelected="1" workbookViewId="0">
      <selection activeCell="L21" sqref="L20:L21"/>
    </sheetView>
  </sheetViews>
  <sheetFormatPr baseColWidth="10" defaultColWidth="11.42578125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OuvrirForm">
          <controlPr defaultSize="0" autoLine="0" r:id="rId5">
            <anchor moveWithCells="1">
              <from>
                <xdr:col>4</xdr:col>
                <xdr:colOff>9525</xdr:colOff>
                <xdr:row>12</xdr:row>
                <xdr:rowOff>9525</xdr:rowOff>
              </from>
              <to>
                <xdr:col>6</xdr:col>
                <xdr:colOff>600075</xdr:colOff>
                <xdr:row>15</xdr:row>
                <xdr:rowOff>152400</xdr:rowOff>
              </to>
            </anchor>
          </controlPr>
        </control>
      </mc:Choice>
      <mc:Fallback>
        <control shapeId="2050" r:id="rId4" name="btnOuvrirForm"/>
      </mc:Fallback>
    </mc:AlternateContent>
    <mc:AlternateContent xmlns:mc="http://schemas.openxmlformats.org/markup-compatibility/2006">
      <mc:Choice Requires="x14">
        <control shapeId="2051" r:id="rId6" name="btnJury">
          <controlPr defaultSize="0" autoLine="0" autoPict="0" r:id="rId7">
            <anchor moveWithCells="1">
              <from>
                <xdr:col>7</xdr:col>
                <xdr:colOff>28575</xdr:colOff>
                <xdr:row>12</xdr:row>
                <xdr:rowOff>9525</xdr:rowOff>
              </from>
              <to>
                <xdr:col>9</xdr:col>
                <xdr:colOff>552450</xdr:colOff>
                <xdr:row>15</xdr:row>
                <xdr:rowOff>133350</xdr:rowOff>
              </to>
            </anchor>
          </controlPr>
        </control>
      </mc:Choice>
      <mc:Fallback>
        <control shapeId="2051" r:id="rId6" name="btnJur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F7C7-364E-4BD6-89CC-5CA46B037FAE}">
  <sheetPr codeName="Feuil5"/>
  <dimension ref="A3:E5"/>
  <sheetViews>
    <sheetView workbookViewId="0">
      <selection activeCell="B24" sqref="B24"/>
    </sheetView>
  </sheetViews>
  <sheetFormatPr baseColWidth="10" defaultRowHeight="15" x14ac:dyDescent="0.25"/>
  <cols>
    <col min="1" max="1" width="21" bestFit="1" customWidth="1"/>
    <col min="2" max="2" width="25.85546875" customWidth="1"/>
    <col min="3" max="3" width="28.140625" customWidth="1"/>
    <col min="4" max="4" width="28" customWidth="1"/>
    <col min="5" max="5" width="24.85546875" customWidth="1"/>
  </cols>
  <sheetData>
    <row r="3" spans="1:5" ht="45" x14ac:dyDescent="0.25">
      <c r="A3" s="24" t="s">
        <v>81</v>
      </c>
      <c r="B3" s="23" t="s">
        <v>84</v>
      </c>
      <c r="C3" s="23" t="s">
        <v>85</v>
      </c>
      <c r="D3" s="23" t="s">
        <v>86</v>
      </c>
      <c r="E3" s="23" t="s">
        <v>83</v>
      </c>
    </row>
    <row r="4" spans="1:5" x14ac:dyDescent="0.25">
      <c r="A4" s="25" t="s">
        <v>79</v>
      </c>
      <c r="B4" s="26">
        <v>1</v>
      </c>
      <c r="C4" s="26">
        <v>1</v>
      </c>
      <c r="D4" s="26">
        <v>1</v>
      </c>
      <c r="E4" s="26">
        <v>1</v>
      </c>
    </row>
    <row r="5" spans="1:5" x14ac:dyDescent="0.25">
      <c r="A5" s="25" t="s">
        <v>82</v>
      </c>
      <c r="B5" s="26">
        <v>1</v>
      </c>
      <c r="C5" s="26">
        <v>1</v>
      </c>
      <c r="D5" s="26">
        <v>1</v>
      </c>
      <c r="E5" s="26">
        <v>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6921-7C45-489F-BFB7-FE8BDAB6D920}">
  <sheetPr codeName="Feuil6"/>
  <dimension ref="A1"/>
  <sheetViews>
    <sheetView workbookViewId="0">
      <selection activeCell="C3" sqref="C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EB8E0-D8C0-4E3A-8267-69F4D114B61E}">
  <sheetPr codeName="Feuil4"/>
  <dimension ref="A2:E11"/>
  <sheetViews>
    <sheetView workbookViewId="0">
      <selection activeCell="E18" sqref="E18"/>
    </sheetView>
  </sheetViews>
  <sheetFormatPr baseColWidth="10" defaultRowHeight="15" x14ac:dyDescent="0.25"/>
  <cols>
    <col min="1" max="1" width="12.7109375" bestFit="1" customWidth="1"/>
    <col min="2" max="2" width="19.28515625" customWidth="1"/>
    <col min="3" max="3" width="22.42578125" customWidth="1"/>
    <col min="4" max="4" width="21.85546875" customWidth="1"/>
    <col min="5" max="5" width="24.28515625" customWidth="1"/>
  </cols>
  <sheetData>
    <row r="2" spans="1:5" x14ac:dyDescent="0.25">
      <c r="A2" s="42" t="s">
        <v>87</v>
      </c>
      <c r="B2" s="42"/>
      <c r="C2" s="42"/>
      <c r="D2" s="42"/>
      <c r="E2" s="42"/>
    </row>
    <row r="3" spans="1:5" ht="45" x14ac:dyDescent="0.25">
      <c r="A3" t="s">
        <v>80</v>
      </c>
      <c r="B3" s="23" t="s">
        <v>77</v>
      </c>
      <c r="C3" s="23" t="s">
        <v>47</v>
      </c>
      <c r="D3" s="23" t="s">
        <v>57</v>
      </c>
      <c r="E3" s="23" t="s">
        <v>63</v>
      </c>
    </row>
    <row r="4" spans="1:5" x14ac:dyDescent="0.25">
      <c r="A4" t="s">
        <v>79</v>
      </c>
      <c r="B4">
        <f>VLOOKUP(semestre1!A$2,semestre1!$A$1:$M$17,10,FALSE)</f>
        <v>14.7</v>
      </c>
      <c r="C4" t="e" cm="1">
        <f t="array" ref="C4">VLOOKUP(semestre1!A,semestre1!$A$1:$M$17,11,FALSE)</f>
        <v>#NAME?</v>
      </c>
      <c r="D4" t="e">
        <f>VLOOKUP(semestre1!C$2,semestre1!$A$1:$M$17,10,FALSE)</f>
        <v>#N/A</v>
      </c>
      <c r="E4" t="e">
        <f>VLOOKUP(semestre1!D$2,semestre1!$A$1:$M$17,10,FALSE)</f>
        <v>#N/A</v>
      </c>
    </row>
    <row r="11" spans="1:5" x14ac:dyDescent="0.25">
      <c r="A11" t="s">
        <v>46</v>
      </c>
    </row>
  </sheetData>
  <mergeCells count="1">
    <mergeCell ref="A2:E2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5952-2F2D-44EA-B930-20352C8408A4}">
  <sheetPr codeName="Feuil8"/>
  <dimension ref="A1:O24"/>
  <sheetViews>
    <sheetView workbookViewId="0">
      <selection activeCell="H7" sqref="H7"/>
    </sheetView>
  </sheetViews>
  <sheetFormatPr baseColWidth="10" defaultColWidth="11.42578125" defaultRowHeight="15" x14ac:dyDescent="0.25"/>
  <cols>
    <col min="1" max="1" width="11.140625" customWidth="1"/>
    <col min="2" max="2" width="15.5703125" customWidth="1"/>
    <col min="3" max="3" width="30.5703125" customWidth="1"/>
    <col min="4" max="8" width="16.140625" customWidth="1"/>
    <col min="9" max="9" width="17" bestFit="1" customWidth="1"/>
    <col min="10" max="10" width="21" bestFit="1" customWidth="1"/>
    <col min="11" max="11" width="15.28515625" customWidth="1"/>
    <col min="12" max="12" width="13.42578125" bestFit="1" customWidth="1"/>
    <col min="15" max="15" width="16.28515625" bestFit="1" customWidth="1"/>
  </cols>
  <sheetData>
    <row r="1" spans="1:15" x14ac:dyDescent="0.25">
      <c r="A1" s="2" t="s">
        <v>34</v>
      </c>
      <c r="B1" s="2" t="s">
        <v>35</v>
      </c>
      <c r="C1" s="2" t="s">
        <v>36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4" t="s">
        <v>42</v>
      </c>
      <c r="J1" s="19" t="s">
        <v>43</v>
      </c>
      <c r="K1" s="2" t="s">
        <v>0</v>
      </c>
      <c r="L1" s="2" t="s">
        <v>44</v>
      </c>
      <c r="M1" s="2" t="s">
        <v>45</v>
      </c>
    </row>
    <row r="2" spans="1:15" ht="30" x14ac:dyDescent="0.25">
      <c r="A2" s="20" t="s">
        <v>46</v>
      </c>
      <c r="B2" s="27" t="s">
        <v>77</v>
      </c>
      <c r="C2" s="6" t="s">
        <v>12</v>
      </c>
      <c r="D2" s="7">
        <v>15</v>
      </c>
      <c r="E2" s="7">
        <v>14</v>
      </c>
      <c r="F2" s="7">
        <v>15</v>
      </c>
      <c r="G2" s="7"/>
      <c r="H2" s="7"/>
      <c r="I2" s="28">
        <f>AVERAGE(D2:H2 )</f>
        <v>14.666666666666666</v>
      </c>
      <c r="J2" s="29">
        <f>ROUND(I2, 1)</f>
        <v>14.7</v>
      </c>
      <c r="K2" s="8" t="s">
        <v>48</v>
      </c>
      <c r="L2" s="8" t="s">
        <v>48</v>
      </c>
      <c r="M2" s="9">
        <v>5</v>
      </c>
      <c r="O2" t="s">
        <v>78</v>
      </c>
    </row>
    <row r="3" spans="1:15" ht="24" customHeight="1" x14ac:dyDescent="0.25">
      <c r="A3" s="20" t="s">
        <v>46</v>
      </c>
      <c r="B3" s="30" t="s">
        <v>47</v>
      </c>
      <c r="C3" s="10" t="s">
        <v>49</v>
      </c>
      <c r="D3" s="7">
        <v>13</v>
      </c>
      <c r="E3" s="7"/>
      <c r="F3" s="7"/>
      <c r="G3" s="7"/>
      <c r="H3" s="7"/>
      <c r="I3" s="28">
        <f t="shared" ref="I3:I17" si="0">AVERAGE(D3:H3 )</f>
        <v>13</v>
      </c>
      <c r="J3" s="43">
        <f>ROUND(AVERAGE(((I3 * M3) + (I4 * M4) + (I5 * M5) + (I6 * M6) + (I7 * M7) + J2) /95), 1)</f>
        <v>14.6</v>
      </c>
      <c r="K3" s="8" t="s">
        <v>50</v>
      </c>
      <c r="L3" s="8" t="s">
        <v>51</v>
      </c>
      <c r="M3" s="9">
        <v>15</v>
      </c>
    </row>
    <row r="4" spans="1:15" ht="60" x14ac:dyDescent="0.25">
      <c r="A4" s="20" t="s">
        <v>46</v>
      </c>
      <c r="B4" s="30" t="s">
        <v>47</v>
      </c>
      <c r="C4" s="10" t="s">
        <v>52</v>
      </c>
      <c r="D4" s="7">
        <v>18</v>
      </c>
      <c r="E4" s="7"/>
      <c r="F4" s="7"/>
      <c r="G4" s="7"/>
      <c r="H4" s="7"/>
      <c r="I4" s="28">
        <f t="shared" si="0"/>
        <v>18</v>
      </c>
      <c r="J4" s="43"/>
      <c r="K4" s="8" t="s">
        <v>53</v>
      </c>
      <c r="L4" s="8" t="s">
        <v>5</v>
      </c>
      <c r="M4" s="9">
        <v>20</v>
      </c>
    </row>
    <row r="5" spans="1:15" ht="60" x14ac:dyDescent="0.25">
      <c r="A5" s="20" t="s">
        <v>46</v>
      </c>
      <c r="B5" s="30" t="s">
        <v>47</v>
      </c>
      <c r="C5" s="10" t="s">
        <v>14</v>
      </c>
      <c r="D5" s="7">
        <v>17</v>
      </c>
      <c r="E5" s="7"/>
      <c r="F5" s="7"/>
      <c r="G5" s="7"/>
      <c r="H5" s="7"/>
      <c r="I5" s="28">
        <f t="shared" si="0"/>
        <v>17</v>
      </c>
      <c r="J5" s="43"/>
      <c r="K5" s="8" t="s">
        <v>53</v>
      </c>
      <c r="L5" s="8" t="s">
        <v>53</v>
      </c>
      <c r="M5" s="9">
        <v>20</v>
      </c>
    </row>
    <row r="6" spans="1:15" ht="60" x14ac:dyDescent="0.25">
      <c r="A6" s="20" t="s">
        <v>46</v>
      </c>
      <c r="B6" s="30" t="s">
        <v>47</v>
      </c>
      <c r="C6" s="10" t="s">
        <v>54</v>
      </c>
      <c r="D6" s="7">
        <v>16</v>
      </c>
      <c r="E6" s="7"/>
      <c r="F6" s="7"/>
      <c r="G6" s="7"/>
      <c r="H6" s="7"/>
      <c r="I6" s="28">
        <f t="shared" si="0"/>
        <v>16</v>
      </c>
      <c r="J6" s="43"/>
      <c r="K6" s="8" t="s">
        <v>55</v>
      </c>
      <c r="L6" s="8" t="s">
        <v>53</v>
      </c>
      <c r="M6" s="9">
        <v>30</v>
      </c>
    </row>
    <row r="7" spans="1:15" ht="60" x14ac:dyDescent="0.25">
      <c r="A7" s="20" t="s">
        <v>46</v>
      </c>
      <c r="B7" s="30" t="s">
        <v>47</v>
      </c>
      <c r="C7" s="10" t="s">
        <v>56</v>
      </c>
      <c r="D7" s="32">
        <f>'semestre2 (2)'!D10</f>
        <v>0</v>
      </c>
      <c r="E7" s="33"/>
      <c r="F7" s="33"/>
      <c r="G7" s="33"/>
      <c r="H7" s="34"/>
      <c r="I7" s="28">
        <f t="shared" si="0"/>
        <v>0</v>
      </c>
      <c r="J7" s="43"/>
      <c r="K7" s="8" t="s">
        <v>53</v>
      </c>
      <c r="L7" s="8" t="s">
        <v>5</v>
      </c>
      <c r="M7" s="9">
        <v>10</v>
      </c>
    </row>
    <row r="8" spans="1:15" ht="15" customHeight="1" x14ac:dyDescent="0.25">
      <c r="A8" s="20" t="s">
        <v>46</v>
      </c>
      <c r="B8" s="31" t="s">
        <v>57</v>
      </c>
      <c r="C8" s="11" t="s">
        <v>58</v>
      </c>
      <c r="D8" s="12">
        <v>14</v>
      </c>
      <c r="E8" s="12">
        <v>4</v>
      </c>
      <c r="F8" s="12">
        <v>14</v>
      </c>
      <c r="G8" s="12"/>
      <c r="H8" s="12"/>
      <c r="I8" s="28">
        <f t="shared" si="0"/>
        <v>10.666666666666666</v>
      </c>
      <c r="J8" s="44">
        <f>ROUND(AVERAGE(((I8 * M8) + (I9 * M9) + (I10 * M10) + (I11 * M11) + J2) / 95), 1)</f>
        <v>13</v>
      </c>
      <c r="K8" s="8" t="s">
        <v>59</v>
      </c>
      <c r="L8" s="8" t="s">
        <v>59</v>
      </c>
      <c r="M8" s="9">
        <v>20</v>
      </c>
    </row>
    <row r="9" spans="1:15" ht="45" x14ac:dyDescent="0.25">
      <c r="A9" s="20" t="s">
        <v>46</v>
      </c>
      <c r="B9" s="31" t="s">
        <v>57</v>
      </c>
      <c r="C9" s="11" t="s">
        <v>60</v>
      </c>
      <c r="D9" s="12">
        <v>6</v>
      </c>
      <c r="E9" s="12">
        <v>13</v>
      </c>
      <c r="F9" s="12"/>
      <c r="G9" s="12"/>
      <c r="H9" s="12"/>
      <c r="I9" s="28">
        <f t="shared" si="0"/>
        <v>9.5</v>
      </c>
      <c r="J9" s="44"/>
      <c r="K9" s="8" t="s">
        <v>61</v>
      </c>
      <c r="L9" s="8" t="s">
        <v>61</v>
      </c>
      <c r="M9" s="9">
        <v>15</v>
      </c>
    </row>
    <row r="10" spans="1:15" ht="45" x14ac:dyDescent="0.25">
      <c r="A10" s="20" t="s">
        <v>46</v>
      </c>
      <c r="B10" s="31" t="s">
        <v>57</v>
      </c>
      <c r="C10" s="11" t="s">
        <v>20</v>
      </c>
      <c r="D10" s="12">
        <v>11</v>
      </c>
      <c r="E10" s="12">
        <v>15</v>
      </c>
      <c r="F10" s="12">
        <v>14</v>
      </c>
      <c r="G10" s="12">
        <v>13</v>
      </c>
      <c r="H10" s="12"/>
      <c r="I10" s="28">
        <f t="shared" si="0"/>
        <v>13.25</v>
      </c>
      <c r="J10" s="44"/>
      <c r="K10" s="8" t="s">
        <v>51</v>
      </c>
      <c r="L10" s="8" t="s">
        <v>51</v>
      </c>
      <c r="M10" s="9">
        <v>20</v>
      </c>
    </row>
    <row r="11" spans="1:15" ht="45" x14ac:dyDescent="0.25">
      <c r="A11" s="20" t="s">
        <v>46</v>
      </c>
      <c r="B11" s="31" t="s">
        <v>57</v>
      </c>
      <c r="C11" s="11" t="s">
        <v>21</v>
      </c>
      <c r="D11" s="12">
        <v>15</v>
      </c>
      <c r="E11" s="12"/>
      <c r="F11" s="12"/>
      <c r="G11" s="12"/>
      <c r="H11" s="12"/>
      <c r="I11" s="28">
        <f t="shared" si="0"/>
        <v>15</v>
      </c>
      <c r="J11" s="44"/>
      <c r="K11" s="8" t="s">
        <v>9</v>
      </c>
      <c r="L11" s="8" t="s">
        <v>62</v>
      </c>
      <c r="M11" s="9">
        <v>40</v>
      </c>
    </row>
    <row r="12" spans="1:15" x14ac:dyDescent="0.25">
      <c r="A12" s="20" t="s">
        <v>46</v>
      </c>
      <c r="B12" s="45" t="s">
        <v>63</v>
      </c>
      <c r="C12" s="13" t="s">
        <v>23</v>
      </c>
      <c r="D12" s="12">
        <v>12</v>
      </c>
      <c r="E12" s="12"/>
      <c r="F12" s="12"/>
      <c r="G12" s="12"/>
      <c r="H12" s="12"/>
      <c r="I12" s="28">
        <f t="shared" si="0"/>
        <v>12</v>
      </c>
      <c r="J12" s="46">
        <f>ROUND(AVERAGE(((I12*M12)+(I13*M13)+(I14*M14)+(I15*M15)+(I16*M16)+(I17*M17) + J2) /95), 1)</f>
        <v>15.2</v>
      </c>
      <c r="K12" s="8" t="s">
        <v>64</v>
      </c>
      <c r="L12" s="8" t="s">
        <v>64</v>
      </c>
      <c r="M12" s="9">
        <v>15</v>
      </c>
    </row>
    <row r="13" spans="1:15" ht="24" x14ac:dyDescent="0.25">
      <c r="A13" s="20" t="s">
        <v>46</v>
      </c>
      <c r="B13" s="45"/>
      <c r="C13" s="13" t="s">
        <v>25</v>
      </c>
      <c r="D13" s="12">
        <v>17</v>
      </c>
      <c r="E13" s="12"/>
      <c r="F13" s="12"/>
      <c r="G13" s="12"/>
      <c r="H13" s="12"/>
      <c r="I13" s="28">
        <f t="shared" si="0"/>
        <v>17</v>
      </c>
      <c r="J13" s="46"/>
      <c r="K13" s="8" t="s">
        <v>48</v>
      </c>
      <c r="L13" s="8" t="s">
        <v>48</v>
      </c>
      <c r="M13" s="9">
        <v>15</v>
      </c>
    </row>
    <row r="14" spans="1:15" ht="36" x14ac:dyDescent="0.25">
      <c r="A14" s="20" t="s">
        <v>46</v>
      </c>
      <c r="B14" s="45"/>
      <c r="C14" s="13" t="s">
        <v>65</v>
      </c>
      <c r="D14" s="12">
        <v>15</v>
      </c>
      <c r="E14" s="12"/>
      <c r="F14" s="12"/>
      <c r="G14" s="12"/>
      <c r="H14" s="12"/>
      <c r="I14" s="28">
        <f t="shared" si="0"/>
        <v>15</v>
      </c>
      <c r="J14" s="46"/>
      <c r="K14" s="8" t="s">
        <v>9</v>
      </c>
      <c r="L14" s="8" t="s">
        <v>7</v>
      </c>
      <c r="M14" s="9">
        <v>25</v>
      </c>
    </row>
    <row r="15" spans="1:15" ht="24" x14ac:dyDescent="0.25">
      <c r="A15" s="20" t="s">
        <v>46</v>
      </c>
      <c r="B15" s="45"/>
      <c r="C15" s="13" t="s">
        <v>27</v>
      </c>
      <c r="D15" s="12">
        <v>16</v>
      </c>
      <c r="E15" s="12"/>
      <c r="F15" s="12"/>
      <c r="G15" s="12"/>
      <c r="H15" s="12"/>
      <c r="I15" s="28">
        <f t="shared" si="0"/>
        <v>16</v>
      </c>
      <c r="J15" s="46"/>
      <c r="K15" s="8" t="s">
        <v>59</v>
      </c>
      <c r="L15" s="8" t="s">
        <v>59</v>
      </c>
      <c r="M15" s="9">
        <v>15</v>
      </c>
    </row>
    <row r="16" spans="1:15" ht="24" x14ac:dyDescent="0.25">
      <c r="A16" s="20" t="s">
        <v>46</v>
      </c>
      <c r="B16" s="45"/>
      <c r="C16" s="13" t="s">
        <v>29</v>
      </c>
      <c r="D16" s="12">
        <v>18</v>
      </c>
      <c r="E16" s="12"/>
      <c r="F16" s="12"/>
      <c r="G16" s="12"/>
      <c r="H16" s="12"/>
      <c r="I16" s="28">
        <f t="shared" si="0"/>
        <v>18</v>
      </c>
      <c r="J16" s="46"/>
      <c r="K16" s="8" t="s">
        <v>48</v>
      </c>
      <c r="L16" s="8" t="s">
        <v>48</v>
      </c>
      <c r="M16" s="9">
        <v>10</v>
      </c>
    </row>
    <row r="17" spans="1:13" x14ac:dyDescent="0.25">
      <c r="A17" s="20" t="s">
        <v>46</v>
      </c>
      <c r="B17" s="45"/>
      <c r="C17" s="13" t="s">
        <v>30</v>
      </c>
      <c r="D17" s="12">
        <v>13</v>
      </c>
      <c r="E17" s="12"/>
      <c r="F17" s="12"/>
      <c r="G17" s="12"/>
      <c r="H17" s="12"/>
      <c r="I17" s="28">
        <f t="shared" si="0"/>
        <v>13</v>
      </c>
      <c r="J17" s="46"/>
      <c r="K17" s="8" t="s">
        <v>66</v>
      </c>
      <c r="L17" s="8" t="s">
        <v>66</v>
      </c>
      <c r="M17" s="9">
        <v>15</v>
      </c>
    </row>
    <row r="18" spans="1:13" hidden="1" x14ac:dyDescent="0.25"/>
    <row r="19" spans="1:13" ht="33" hidden="1" customHeight="1" x14ac:dyDescent="0.25"/>
    <row r="20" spans="1:13" hidden="1" x14ac:dyDescent="0.25"/>
    <row r="21" spans="1:13" hidden="1" x14ac:dyDescent="0.25"/>
    <row r="22" spans="1:13" hidden="1" x14ac:dyDescent="0.25"/>
    <row r="23" spans="1:13" hidden="1" x14ac:dyDescent="0.25"/>
    <row r="24" spans="1:13" hidden="1" x14ac:dyDescent="0.25"/>
  </sheetData>
  <mergeCells count="4">
    <mergeCell ref="J3:J7"/>
    <mergeCell ref="J8:J11"/>
    <mergeCell ref="B12:B17"/>
    <mergeCell ref="J12:J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CA3DA-A266-412B-B843-66B4DD8577C5}">
  <sheetPr codeName="Feuil2"/>
  <dimension ref="A1:O24"/>
  <sheetViews>
    <sheetView workbookViewId="0">
      <selection activeCell="J12" sqref="J12:J17"/>
    </sheetView>
  </sheetViews>
  <sheetFormatPr baseColWidth="10" defaultColWidth="11.42578125" defaultRowHeight="15" x14ac:dyDescent="0.25"/>
  <cols>
    <col min="1" max="1" width="11.140625" customWidth="1"/>
    <col min="2" max="2" width="15.5703125" customWidth="1"/>
    <col min="3" max="3" width="30.5703125" customWidth="1"/>
    <col min="4" max="8" width="16.140625" customWidth="1"/>
    <col min="9" max="9" width="17" bestFit="1" customWidth="1"/>
    <col min="10" max="10" width="21" bestFit="1" customWidth="1"/>
    <col min="11" max="11" width="15.28515625" customWidth="1"/>
    <col min="12" max="12" width="13.42578125" bestFit="1" customWidth="1"/>
    <col min="15" max="15" width="16.28515625" bestFit="1" customWidth="1"/>
  </cols>
  <sheetData>
    <row r="1" spans="1:15" x14ac:dyDescent="0.25">
      <c r="A1" s="2" t="s">
        <v>34</v>
      </c>
      <c r="B1" s="2" t="s">
        <v>35</v>
      </c>
      <c r="C1" s="2" t="s">
        <v>36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4" t="s">
        <v>42</v>
      </c>
      <c r="J1" s="19" t="s">
        <v>43</v>
      </c>
      <c r="K1" s="2" t="s">
        <v>0</v>
      </c>
      <c r="L1" s="2" t="s">
        <v>44</v>
      </c>
      <c r="M1" s="2" t="s">
        <v>45</v>
      </c>
    </row>
    <row r="2" spans="1:15" ht="30" x14ac:dyDescent="0.25">
      <c r="A2" s="20" t="s">
        <v>46</v>
      </c>
      <c r="B2" s="21" t="s">
        <v>77</v>
      </c>
      <c r="C2" s="6" t="s">
        <v>12</v>
      </c>
      <c r="D2" s="7">
        <v>15</v>
      </c>
      <c r="E2" s="7">
        <v>14</v>
      </c>
      <c r="F2" s="7">
        <v>15</v>
      </c>
      <c r="G2" s="7"/>
      <c r="H2" s="7"/>
      <c r="I2" s="28">
        <f>AVERAGE(D2:H2 )</f>
        <v>14.666666666666666</v>
      </c>
      <c r="J2" s="29">
        <f>ROUND(I2, 1)</f>
        <v>14.7</v>
      </c>
      <c r="K2" s="8" t="s">
        <v>48</v>
      </c>
      <c r="L2" s="8" t="s">
        <v>48</v>
      </c>
      <c r="M2" s="9">
        <v>5</v>
      </c>
      <c r="O2" t="s">
        <v>78</v>
      </c>
    </row>
    <row r="3" spans="1:15" ht="24" customHeight="1" x14ac:dyDescent="0.25">
      <c r="A3" s="20" t="s">
        <v>46</v>
      </c>
      <c r="B3" s="30" t="s">
        <v>47</v>
      </c>
      <c r="C3" s="10" t="s">
        <v>49</v>
      </c>
      <c r="D3" s="7">
        <v>13</v>
      </c>
      <c r="E3" s="7"/>
      <c r="F3" s="7"/>
      <c r="G3" s="7"/>
      <c r="H3" s="7"/>
      <c r="I3" s="28">
        <f t="shared" ref="I3:I17" si="0">AVERAGE(D3:H3 )</f>
        <v>13</v>
      </c>
      <c r="J3" s="35">
        <f>ROUND(AVERAGE(((I3 * M3) + (I4 * M4) + (I5 * M5) + (I6 * M6) + (I7 * M7) + J2) /95), 1)</f>
        <v>14.6</v>
      </c>
      <c r="K3" s="8" t="s">
        <v>50</v>
      </c>
      <c r="L3" s="8" t="s">
        <v>51</v>
      </c>
      <c r="M3" s="9">
        <v>15</v>
      </c>
    </row>
    <row r="4" spans="1:15" ht="60" x14ac:dyDescent="0.25">
      <c r="A4" s="20" t="s">
        <v>46</v>
      </c>
      <c r="B4" s="30" t="s">
        <v>47</v>
      </c>
      <c r="C4" s="10" t="s">
        <v>52</v>
      </c>
      <c r="D4" s="7">
        <v>18</v>
      </c>
      <c r="E4" s="7"/>
      <c r="F4" s="7"/>
      <c r="G4" s="7"/>
      <c r="H4" s="7"/>
      <c r="I4" s="28">
        <f t="shared" si="0"/>
        <v>18</v>
      </c>
      <c r="J4" s="35"/>
      <c r="K4" s="8" t="s">
        <v>53</v>
      </c>
      <c r="L4" s="8" t="s">
        <v>5</v>
      </c>
      <c r="M4" s="9">
        <v>20</v>
      </c>
    </row>
    <row r="5" spans="1:15" ht="60" x14ac:dyDescent="0.25">
      <c r="A5" s="20" t="s">
        <v>46</v>
      </c>
      <c r="B5" s="30" t="s">
        <v>47</v>
      </c>
      <c r="C5" s="10" t="s">
        <v>14</v>
      </c>
      <c r="D5" s="7">
        <v>17</v>
      </c>
      <c r="E5" s="7"/>
      <c r="F5" s="7"/>
      <c r="G5" s="7"/>
      <c r="H5" s="7"/>
      <c r="I5" s="28">
        <f t="shared" si="0"/>
        <v>17</v>
      </c>
      <c r="J5" s="35"/>
      <c r="K5" s="8" t="s">
        <v>53</v>
      </c>
      <c r="L5" s="8" t="s">
        <v>53</v>
      </c>
      <c r="M5" s="9">
        <v>20</v>
      </c>
    </row>
    <row r="6" spans="1:15" ht="60" x14ac:dyDescent="0.25">
      <c r="A6" s="20" t="s">
        <v>46</v>
      </c>
      <c r="B6" s="30" t="s">
        <v>47</v>
      </c>
      <c r="C6" s="10" t="s">
        <v>54</v>
      </c>
      <c r="D6" s="7">
        <v>16</v>
      </c>
      <c r="E6" s="7"/>
      <c r="F6" s="7"/>
      <c r="G6" s="7"/>
      <c r="H6" s="7"/>
      <c r="I6" s="28">
        <f t="shared" si="0"/>
        <v>16</v>
      </c>
      <c r="J6" s="35"/>
      <c r="K6" s="8" t="s">
        <v>55</v>
      </c>
      <c r="L6" s="8" t="s">
        <v>53</v>
      </c>
      <c r="M6" s="9">
        <v>30</v>
      </c>
    </row>
    <row r="7" spans="1:15" ht="60" x14ac:dyDescent="0.25">
      <c r="A7" s="20" t="s">
        <v>46</v>
      </c>
      <c r="B7" s="30" t="s">
        <v>47</v>
      </c>
      <c r="C7" s="10" t="s">
        <v>56</v>
      </c>
      <c r="D7" s="32">
        <f>'semestre2 (2)'!D10</f>
        <v>0</v>
      </c>
      <c r="E7" s="33"/>
      <c r="F7" s="33"/>
      <c r="G7" s="33"/>
      <c r="H7" s="34"/>
      <c r="I7" s="28">
        <f t="shared" si="0"/>
        <v>0</v>
      </c>
      <c r="J7" s="35"/>
      <c r="K7" s="8" t="s">
        <v>53</v>
      </c>
      <c r="L7" s="8" t="s">
        <v>5</v>
      </c>
      <c r="M7" s="9">
        <v>10</v>
      </c>
    </row>
    <row r="8" spans="1:15" ht="15" customHeight="1" x14ac:dyDescent="0.25">
      <c r="A8" s="20" t="s">
        <v>46</v>
      </c>
      <c r="B8" s="31" t="s">
        <v>57</v>
      </c>
      <c r="C8" s="11" t="s">
        <v>58</v>
      </c>
      <c r="D8" s="12">
        <v>14</v>
      </c>
      <c r="E8" s="12">
        <v>4</v>
      </c>
      <c r="F8" s="12">
        <v>14</v>
      </c>
      <c r="G8" s="12"/>
      <c r="H8" s="12"/>
      <c r="I8" s="28">
        <f t="shared" si="0"/>
        <v>10.666666666666666</v>
      </c>
      <c r="J8" s="36">
        <f>ROUND(AVERAGE(((I8 * M8) + (I9 * M9) + (I10 * M10) + (I11 * M11) + J2) / 95), 1)</f>
        <v>13.2</v>
      </c>
      <c r="K8" s="8" t="s">
        <v>59</v>
      </c>
      <c r="L8" s="8" t="s">
        <v>59</v>
      </c>
      <c r="M8" s="9">
        <v>20</v>
      </c>
    </row>
    <row r="9" spans="1:15" ht="45" x14ac:dyDescent="0.25">
      <c r="A9" s="20" t="s">
        <v>46</v>
      </c>
      <c r="B9" s="31" t="s">
        <v>57</v>
      </c>
      <c r="C9" s="11" t="s">
        <v>60</v>
      </c>
      <c r="D9" s="12">
        <v>6</v>
      </c>
      <c r="E9" s="12">
        <v>13</v>
      </c>
      <c r="F9" s="12">
        <v>14</v>
      </c>
      <c r="G9" s="12"/>
      <c r="H9" s="12"/>
      <c r="I9" s="28">
        <f t="shared" si="0"/>
        <v>11</v>
      </c>
      <c r="J9" s="36"/>
      <c r="K9" s="8" t="s">
        <v>61</v>
      </c>
      <c r="L9" s="8" t="s">
        <v>61</v>
      </c>
      <c r="M9" s="9">
        <v>15</v>
      </c>
    </row>
    <row r="10" spans="1:15" ht="45" x14ac:dyDescent="0.25">
      <c r="A10" s="20" t="s">
        <v>46</v>
      </c>
      <c r="B10" s="31" t="s">
        <v>57</v>
      </c>
      <c r="C10" s="11" t="s">
        <v>20</v>
      </c>
      <c r="D10" s="12">
        <v>11</v>
      </c>
      <c r="E10" s="12">
        <v>15</v>
      </c>
      <c r="F10" s="12">
        <v>14</v>
      </c>
      <c r="G10" s="12">
        <v>13</v>
      </c>
      <c r="H10" s="12"/>
      <c r="I10" s="28">
        <f t="shared" si="0"/>
        <v>13.25</v>
      </c>
      <c r="J10" s="36"/>
      <c r="K10" s="8" t="s">
        <v>51</v>
      </c>
      <c r="L10" s="8" t="s">
        <v>51</v>
      </c>
      <c r="M10" s="9">
        <v>20</v>
      </c>
    </row>
    <row r="11" spans="1:15" ht="45" x14ac:dyDescent="0.25">
      <c r="A11" s="20" t="s">
        <v>46</v>
      </c>
      <c r="B11" s="31" t="s">
        <v>57</v>
      </c>
      <c r="C11" s="11" t="s">
        <v>21</v>
      </c>
      <c r="D11" s="12">
        <v>15</v>
      </c>
      <c r="E11" s="12"/>
      <c r="F11" s="12"/>
      <c r="G11" s="12"/>
      <c r="H11" s="12"/>
      <c r="I11" s="28">
        <f t="shared" si="0"/>
        <v>15</v>
      </c>
      <c r="J11" s="36"/>
      <c r="K11" s="8" t="s">
        <v>9</v>
      </c>
      <c r="L11" s="8" t="s">
        <v>62</v>
      </c>
      <c r="M11" s="9">
        <v>40</v>
      </c>
    </row>
    <row r="12" spans="1:15" x14ac:dyDescent="0.25">
      <c r="A12" s="20" t="s">
        <v>46</v>
      </c>
      <c r="B12" s="45" t="s">
        <v>63</v>
      </c>
      <c r="C12" s="13" t="s">
        <v>23</v>
      </c>
      <c r="D12" s="12">
        <v>12</v>
      </c>
      <c r="E12" s="12"/>
      <c r="F12" s="12"/>
      <c r="G12" s="12"/>
      <c r="H12" s="12"/>
      <c r="I12" s="28">
        <f t="shared" si="0"/>
        <v>12</v>
      </c>
      <c r="J12" s="37">
        <f>ROUND(AVERAGE(((I12*M12)+(I13*M13)+(I14*M14)+(I15*M15)+(I16*M16)+(I17*M17) + J2) /95), 1)</f>
        <v>15.2</v>
      </c>
      <c r="K12" s="8" t="s">
        <v>64</v>
      </c>
      <c r="L12" s="8" t="s">
        <v>64</v>
      </c>
      <c r="M12" s="9">
        <v>15</v>
      </c>
    </row>
    <row r="13" spans="1:15" ht="24" x14ac:dyDescent="0.25">
      <c r="A13" s="20" t="s">
        <v>46</v>
      </c>
      <c r="B13" s="45"/>
      <c r="C13" s="13" t="s">
        <v>25</v>
      </c>
      <c r="D13" s="12">
        <v>17</v>
      </c>
      <c r="E13" s="12"/>
      <c r="F13" s="12"/>
      <c r="G13" s="12"/>
      <c r="H13" s="12"/>
      <c r="I13" s="28">
        <f t="shared" si="0"/>
        <v>17</v>
      </c>
      <c r="J13" s="37"/>
      <c r="K13" s="8" t="s">
        <v>48</v>
      </c>
      <c r="L13" s="8" t="s">
        <v>48</v>
      </c>
      <c r="M13" s="9">
        <v>15</v>
      </c>
    </row>
    <row r="14" spans="1:15" ht="36" x14ac:dyDescent="0.25">
      <c r="A14" s="20" t="s">
        <v>46</v>
      </c>
      <c r="B14" s="45"/>
      <c r="C14" s="13" t="s">
        <v>65</v>
      </c>
      <c r="D14" s="12">
        <v>15</v>
      </c>
      <c r="E14" s="12"/>
      <c r="F14" s="12"/>
      <c r="G14" s="12"/>
      <c r="H14" s="12"/>
      <c r="I14" s="28">
        <f t="shared" si="0"/>
        <v>15</v>
      </c>
      <c r="J14" s="37"/>
      <c r="K14" s="8" t="s">
        <v>9</v>
      </c>
      <c r="L14" s="8" t="s">
        <v>7</v>
      </c>
      <c r="M14" s="9">
        <v>25</v>
      </c>
    </row>
    <row r="15" spans="1:15" ht="24" x14ac:dyDescent="0.25">
      <c r="A15" s="20" t="s">
        <v>46</v>
      </c>
      <c r="B15" s="45"/>
      <c r="C15" s="13" t="s">
        <v>27</v>
      </c>
      <c r="D15" s="12">
        <v>16</v>
      </c>
      <c r="E15" s="12"/>
      <c r="F15" s="12"/>
      <c r="G15" s="12"/>
      <c r="H15" s="12"/>
      <c r="I15" s="28">
        <f t="shared" si="0"/>
        <v>16</v>
      </c>
      <c r="J15" s="37"/>
      <c r="K15" s="8" t="s">
        <v>59</v>
      </c>
      <c r="L15" s="8" t="s">
        <v>59</v>
      </c>
      <c r="M15" s="9">
        <v>15</v>
      </c>
    </row>
    <row r="16" spans="1:15" ht="24" x14ac:dyDescent="0.25">
      <c r="A16" s="20" t="s">
        <v>46</v>
      </c>
      <c r="B16" s="45"/>
      <c r="C16" s="13" t="s">
        <v>29</v>
      </c>
      <c r="D16" s="12">
        <v>18</v>
      </c>
      <c r="E16" s="12"/>
      <c r="F16" s="12"/>
      <c r="G16" s="12"/>
      <c r="H16" s="12"/>
      <c r="I16" s="28">
        <f t="shared" si="0"/>
        <v>18</v>
      </c>
      <c r="J16" s="37"/>
      <c r="K16" s="8" t="s">
        <v>48</v>
      </c>
      <c r="L16" s="8" t="s">
        <v>48</v>
      </c>
      <c r="M16" s="9">
        <v>10</v>
      </c>
    </row>
    <row r="17" spans="1:13" x14ac:dyDescent="0.25">
      <c r="A17" s="20" t="s">
        <v>46</v>
      </c>
      <c r="B17" s="45"/>
      <c r="C17" s="13" t="s">
        <v>30</v>
      </c>
      <c r="D17" s="12">
        <v>13</v>
      </c>
      <c r="E17" s="12"/>
      <c r="F17" s="12"/>
      <c r="G17" s="12"/>
      <c r="H17" s="12"/>
      <c r="I17" s="28">
        <f t="shared" si="0"/>
        <v>13</v>
      </c>
      <c r="J17" s="37"/>
      <c r="K17" s="8" t="s">
        <v>66</v>
      </c>
      <c r="L17" s="8" t="s">
        <v>66</v>
      </c>
      <c r="M17" s="9">
        <v>15</v>
      </c>
    </row>
    <row r="18" spans="1:13" hidden="1" x14ac:dyDescent="0.25"/>
    <row r="19" spans="1:13" ht="33" hidden="1" customHeight="1" x14ac:dyDescent="0.25"/>
    <row r="20" spans="1:13" hidden="1" x14ac:dyDescent="0.25"/>
    <row r="21" spans="1:13" hidden="1" x14ac:dyDescent="0.25"/>
    <row r="22" spans="1:13" hidden="1" x14ac:dyDescent="0.25"/>
    <row r="23" spans="1:13" hidden="1" x14ac:dyDescent="0.25"/>
    <row r="24" spans="1:13" hidden="1" x14ac:dyDescent="0.25"/>
  </sheetData>
  <mergeCells count="1">
    <mergeCell ref="B12:B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9D57B-5B4F-498F-AD18-4CB5C3DC24B5}">
  <sheetPr codeName="Feuil7"/>
  <dimension ref="A1:M20"/>
  <sheetViews>
    <sheetView workbookViewId="0">
      <selection activeCell="J17" sqref="J17:J20"/>
    </sheetView>
  </sheetViews>
  <sheetFormatPr baseColWidth="10" defaultRowHeight="15" x14ac:dyDescent="0.25"/>
  <cols>
    <col min="1" max="1" width="10.85546875" bestFit="1" customWidth="1"/>
    <col min="2" max="2" width="14.85546875" customWidth="1"/>
    <col min="3" max="3" width="29.5703125" customWidth="1"/>
    <col min="9" max="9" width="17" bestFit="1" customWidth="1"/>
    <col min="10" max="10" width="21" bestFit="1" customWidth="1"/>
    <col min="11" max="11" width="14.85546875" customWidth="1"/>
  </cols>
  <sheetData>
    <row r="1" spans="1:13" x14ac:dyDescent="0.25">
      <c r="A1" s="2" t="s">
        <v>34</v>
      </c>
      <c r="B1" s="2" t="s">
        <v>35</v>
      </c>
      <c r="C1" s="2" t="s">
        <v>36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4" t="s">
        <v>42</v>
      </c>
      <c r="J1" s="19" t="s">
        <v>43</v>
      </c>
      <c r="K1" s="2" t="s">
        <v>0</v>
      </c>
      <c r="L1" s="2" t="s">
        <v>44</v>
      </c>
      <c r="M1" s="2" t="s">
        <v>45</v>
      </c>
    </row>
    <row r="2" spans="1:13" ht="36" x14ac:dyDescent="0.25">
      <c r="A2" s="22" t="s">
        <v>67</v>
      </c>
      <c r="B2" s="49" t="s">
        <v>77</v>
      </c>
      <c r="C2" s="6" t="s">
        <v>68</v>
      </c>
      <c r="D2" s="7">
        <v>15</v>
      </c>
      <c r="E2" s="7"/>
      <c r="F2" s="7"/>
      <c r="G2" s="7"/>
      <c r="H2" s="7"/>
      <c r="I2" s="28">
        <f t="shared" ref="I2:I20" si="0">AVERAGE(D2:H2 )</f>
        <v>15</v>
      </c>
      <c r="J2" s="38">
        <f>ROUND(AVERAGE((I2*M2)+(I3*M3)+(I4*M4)+(I5*M5)) /35, 1)</f>
        <v>15</v>
      </c>
      <c r="K2" s="8" t="s">
        <v>69</v>
      </c>
      <c r="L2" s="8" t="s">
        <v>48</v>
      </c>
      <c r="M2" s="9">
        <v>5</v>
      </c>
    </row>
    <row r="3" spans="1:13" ht="36" x14ac:dyDescent="0.25">
      <c r="A3" s="22" t="s">
        <v>67</v>
      </c>
      <c r="B3" s="49"/>
      <c r="C3" s="6" t="s">
        <v>72</v>
      </c>
      <c r="D3" s="50">
        <v>15</v>
      </c>
      <c r="E3" s="50"/>
      <c r="F3" s="50"/>
      <c r="G3" s="50"/>
      <c r="H3" s="50"/>
      <c r="I3" s="28">
        <f t="shared" si="0"/>
        <v>15</v>
      </c>
      <c r="J3" s="38"/>
      <c r="K3" s="8" t="s">
        <v>73</v>
      </c>
      <c r="L3" s="17" t="s">
        <v>51</v>
      </c>
      <c r="M3" s="9">
        <v>20</v>
      </c>
    </row>
    <row r="4" spans="1:13" x14ac:dyDescent="0.25">
      <c r="A4" s="22" t="s">
        <v>67</v>
      </c>
      <c r="B4" s="49"/>
      <c r="C4" s="18" t="s">
        <v>18</v>
      </c>
      <c r="D4" s="48">
        <v>15</v>
      </c>
      <c r="E4" s="48"/>
      <c r="F4" s="48"/>
      <c r="G4" s="48"/>
      <c r="H4" s="48"/>
      <c r="I4" s="28">
        <f t="shared" si="0"/>
        <v>15</v>
      </c>
      <c r="J4" s="38"/>
      <c r="K4" s="8"/>
      <c r="L4" s="8"/>
      <c r="M4" s="9">
        <v>5</v>
      </c>
    </row>
    <row r="5" spans="1:13" x14ac:dyDescent="0.25">
      <c r="A5" s="22" t="s">
        <v>67</v>
      </c>
      <c r="B5" s="49"/>
      <c r="C5" s="18" t="s">
        <v>19</v>
      </c>
      <c r="D5" s="48">
        <v>15</v>
      </c>
      <c r="E5" s="48"/>
      <c r="F5" s="48"/>
      <c r="G5" s="48"/>
      <c r="H5" s="48"/>
      <c r="I5" s="28">
        <f t="shared" si="0"/>
        <v>15</v>
      </c>
      <c r="J5" s="38"/>
      <c r="K5" s="17" t="s">
        <v>48</v>
      </c>
      <c r="L5" s="17" t="s">
        <v>48</v>
      </c>
      <c r="M5" s="9">
        <v>5</v>
      </c>
    </row>
    <row r="6" spans="1:13" ht="24" x14ac:dyDescent="0.25">
      <c r="A6" s="22" t="s">
        <v>67</v>
      </c>
      <c r="B6" s="51" t="s">
        <v>47</v>
      </c>
      <c r="C6" s="10" t="s">
        <v>13</v>
      </c>
      <c r="D6" s="12"/>
      <c r="E6" s="12"/>
      <c r="F6" s="12"/>
      <c r="G6" s="12"/>
      <c r="H6" s="12"/>
      <c r="I6" s="28" t="e">
        <f t="shared" si="0"/>
        <v>#DIV/0!</v>
      </c>
      <c r="J6" s="39" t="e">
        <f>ROUND(AVERAGE((I6*M6)+(I7*M7)+(I8*M8)+(I9*M9) + (I10 * M10))/65, 1)</f>
        <v>#DIV/0!</v>
      </c>
      <c r="K6" s="8" t="s">
        <v>4</v>
      </c>
      <c r="L6" s="8" t="s">
        <v>5</v>
      </c>
      <c r="M6" s="9">
        <v>15</v>
      </c>
    </row>
    <row r="7" spans="1:13" x14ac:dyDescent="0.25">
      <c r="A7" s="22" t="s">
        <v>67</v>
      </c>
      <c r="B7" s="51"/>
      <c r="C7" s="10" t="s">
        <v>6</v>
      </c>
      <c r="D7" s="12"/>
      <c r="E7" s="12"/>
      <c r="F7" s="12"/>
      <c r="G7" s="12"/>
      <c r="H7" s="12"/>
      <c r="I7" s="28" t="e">
        <f t="shared" si="0"/>
        <v>#DIV/0!</v>
      </c>
      <c r="J7" s="39"/>
      <c r="K7" s="8" t="s">
        <v>5</v>
      </c>
      <c r="L7" s="8" t="s">
        <v>5</v>
      </c>
      <c r="M7" s="9">
        <v>15</v>
      </c>
    </row>
    <row r="8" spans="1:13" ht="24" x14ac:dyDescent="0.25">
      <c r="A8" s="22" t="s">
        <v>67</v>
      </c>
      <c r="B8" s="51"/>
      <c r="C8" s="10" t="s">
        <v>15</v>
      </c>
      <c r="D8" s="12"/>
      <c r="E8" s="12"/>
      <c r="F8" s="12"/>
      <c r="G8" s="12"/>
      <c r="H8" s="12"/>
      <c r="I8" s="28" t="e">
        <f t="shared" si="0"/>
        <v>#DIV/0!</v>
      </c>
      <c r="J8" s="39"/>
      <c r="K8" s="8" t="s">
        <v>70</v>
      </c>
      <c r="L8" s="8" t="s">
        <v>3</v>
      </c>
      <c r="M8" s="9">
        <v>15</v>
      </c>
    </row>
    <row r="9" spans="1:13" ht="24" x14ac:dyDescent="0.25">
      <c r="A9" s="22" t="s">
        <v>67</v>
      </c>
      <c r="B9" s="51"/>
      <c r="C9" s="10" t="s">
        <v>16</v>
      </c>
      <c r="D9" s="12"/>
      <c r="E9" s="12"/>
      <c r="F9" s="12"/>
      <c r="G9" s="12"/>
      <c r="H9" s="12"/>
      <c r="I9" s="28" t="e">
        <f t="shared" si="0"/>
        <v>#DIV/0!</v>
      </c>
      <c r="J9" s="39"/>
      <c r="K9" s="8" t="s">
        <v>71</v>
      </c>
      <c r="L9" s="8" t="s">
        <v>3</v>
      </c>
      <c r="M9" s="9">
        <v>10</v>
      </c>
    </row>
    <row r="10" spans="1:13" ht="36" x14ac:dyDescent="0.25">
      <c r="A10" s="22" t="s">
        <v>67</v>
      </c>
      <c r="B10" s="51"/>
      <c r="C10" s="10" t="s">
        <v>74</v>
      </c>
      <c r="D10" s="12"/>
      <c r="E10" s="12"/>
      <c r="F10" s="12"/>
      <c r="G10" s="12"/>
      <c r="H10" s="12"/>
      <c r="I10" s="28" t="e">
        <f t="shared" si="0"/>
        <v>#DIV/0!</v>
      </c>
      <c r="J10" s="39"/>
      <c r="K10" s="17" t="s">
        <v>53</v>
      </c>
      <c r="L10" s="17" t="s">
        <v>53</v>
      </c>
      <c r="M10" s="9">
        <v>10</v>
      </c>
    </row>
    <row r="11" spans="1:13" x14ac:dyDescent="0.25">
      <c r="A11" s="22" t="s">
        <v>67</v>
      </c>
      <c r="B11" s="47" t="s">
        <v>57</v>
      </c>
      <c r="C11" s="11" t="s">
        <v>22</v>
      </c>
      <c r="D11" s="12"/>
      <c r="E11" s="12"/>
      <c r="F11" s="12"/>
      <c r="G11" s="12"/>
      <c r="H11" s="12"/>
      <c r="I11" s="28" t="e">
        <f t="shared" si="0"/>
        <v>#DIV/0!</v>
      </c>
      <c r="J11" s="40" t="e">
        <f>ROUND(AVERAGE((I11*M11)+(I12*M12)+(I13*M13)+(I14*M14)+(I15*M15)+(I16*M16)) /75, 1)</f>
        <v>#DIV/0!</v>
      </c>
      <c r="K11" s="8" t="s">
        <v>51</v>
      </c>
      <c r="L11" s="8" t="s">
        <v>51</v>
      </c>
      <c r="M11" s="9">
        <v>10</v>
      </c>
    </row>
    <row r="12" spans="1:13" x14ac:dyDescent="0.25">
      <c r="A12" s="22" t="s">
        <v>67</v>
      </c>
      <c r="B12" s="47"/>
      <c r="C12" s="11" t="s">
        <v>75</v>
      </c>
      <c r="D12" s="12"/>
      <c r="E12" s="12"/>
      <c r="F12" s="12"/>
      <c r="G12" s="12"/>
      <c r="H12" s="12"/>
      <c r="I12" s="28" t="e">
        <f t="shared" si="0"/>
        <v>#DIV/0!</v>
      </c>
      <c r="J12" s="40"/>
      <c r="K12" s="8" t="s">
        <v>61</v>
      </c>
      <c r="L12" s="8" t="s">
        <v>61</v>
      </c>
      <c r="M12" s="9">
        <v>15</v>
      </c>
    </row>
    <row r="13" spans="1:13" x14ac:dyDescent="0.25">
      <c r="A13" s="22" t="s">
        <v>67</v>
      </c>
      <c r="B13" s="47"/>
      <c r="C13" s="11" t="s">
        <v>8</v>
      </c>
      <c r="D13" s="12"/>
      <c r="E13" s="12"/>
      <c r="F13" s="12"/>
      <c r="G13" s="12"/>
      <c r="H13" s="12"/>
      <c r="I13" s="28" t="e">
        <f t="shared" si="0"/>
        <v>#DIV/0!</v>
      </c>
      <c r="J13" s="40"/>
      <c r="K13" s="8" t="s">
        <v>51</v>
      </c>
      <c r="L13" s="8" t="s">
        <v>51</v>
      </c>
      <c r="M13" s="9">
        <v>15</v>
      </c>
    </row>
    <row r="14" spans="1:13" x14ac:dyDescent="0.25">
      <c r="A14" s="22" t="s">
        <v>67</v>
      </c>
      <c r="B14" s="47"/>
      <c r="C14" s="11" t="s">
        <v>24</v>
      </c>
      <c r="D14" s="12"/>
      <c r="E14" s="12"/>
      <c r="F14" s="12"/>
      <c r="G14" s="12"/>
      <c r="H14" s="12"/>
      <c r="I14" s="28" t="e">
        <f t="shared" si="0"/>
        <v>#DIV/0!</v>
      </c>
      <c r="J14" s="40"/>
      <c r="K14" s="8" t="s">
        <v>51</v>
      </c>
      <c r="L14" s="8" t="s">
        <v>51</v>
      </c>
      <c r="M14" s="9">
        <v>15</v>
      </c>
    </row>
    <row r="15" spans="1:13" ht="24" x14ac:dyDescent="0.25">
      <c r="A15" s="22" t="s">
        <v>67</v>
      </c>
      <c r="B15" s="47"/>
      <c r="C15" s="11" t="s">
        <v>26</v>
      </c>
      <c r="D15" s="48"/>
      <c r="E15" s="48"/>
      <c r="F15" s="48"/>
      <c r="G15" s="48"/>
      <c r="H15" s="48"/>
      <c r="I15" s="28" t="e">
        <f t="shared" si="0"/>
        <v>#DIV/0!</v>
      </c>
      <c r="J15" s="40"/>
      <c r="K15" s="8" t="s">
        <v>61</v>
      </c>
      <c r="L15" s="8" t="s">
        <v>61</v>
      </c>
      <c r="M15" s="9">
        <v>10</v>
      </c>
    </row>
    <row r="16" spans="1:13" ht="24" x14ac:dyDescent="0.25">
      <c r="A16" s="22" t="s">
        <v>67</v>
      </c>
      <c r="B16" s="47"/>
      <c r="C16" s="11" t="s">
        <v>28</v>
      </c>
      <c r="D16" s="48"/>
      <c r="E16" s="48"/>
      <c r="F16" s="48"/>
      <c r="G16" s="48"/>
      <c r="H16" s="48"/>
      <c r="I16" s="28" t="e">
        <f t="shared" si="0"/>
        <v>#DIV/0!</v>
      </c>
      <c r="J16" s="40"/>
      <c r="K16" s="8" t="s">
        <v>51</v>
      </c>
      <c r="L16" s="8" t="s">
        <v>51</v>
      </c>
      <c r="M16" s="9">
        <v>10</v>
      </c>
    </row>
    <row r="17" spans="1:13" ht="24" x14ac:dyDescent="0.25">
      <c r="A17" s="22" t="s">
        <v>67</v>
      </c>
      <c r="B17" s="45" t="s">
        <v>63</v>
      </c>
      <c r="C17" s="13" t="s">
        <v>10</v>
      </c>
      <c r="D17" s="12"/>
      <c r="E17" s="12"/>
      <c r="F17" s="12"/>
      <c r="G17" s="12"/>
      <c r="H17" s="12"/>
      <c r="I17" s="28" t="e">
        <f t="shared" si="0"/>
        <v>#DIV/0!</v>
      </c>
      <c r="J17" s="41" t="e">
        <f>ROUND(AVERAGE(((I17*M17)+(I18*M18)+(I19*M19)+(I20*M20)) /65), 1)</f>
        <v>#DIV/0!</v>
      </c>
      <c r="K17" s="8" t="s">
        <v>64</v>
      </c>
      <c r="L17" s="8" t="s">
        <v>64</v>
      </c>
      <c r="M17" s="9">
        <v>15</v>
      </c>
    </row>
    <row r="18" spans="1:13" x14ac:dyDescent="0.25">
      <c r="A18" s="22" t="s">
        <v>67</v>
      </c>
      <c r="B18" s="45"/>
      <c r="C18" s="13" t="s">
        <v>31</v>
      </c>
      <c r="D18" s="12"/>
      <c r="E18" s="12"/>
      <c r="F18" s="12"/>
      <c r="G18" s="12"/>
      <c r="H18" s="12"/>
      <c r="I18" s="28" t="e">
        <f t="shared" si="0"/>
        <v>#DIV/0!</v>
      </c>
      <c r="J18" s="41"/>
      <c r="K18" s="8" t="s">
        <v>48</v>
      </c>
      <c r="L18" s="8" t="s">
        <v>48</v>
      </c>
      <c r="M18" s="9">
        <v>15</v>
      </c>
    </row>
    <row r="19" spans="1:13" ht="36" x14ac:dyDescent="0.25">
      <c r="A19" s="22" t="s">
        <v>67</v>
      </c>
      <c r="B19" s="45"/>
      <c r="C19" s="13" t="s">
        <v>32</v>
      </c>
      <c r="D19" s="12"/>
      <c r="E19" s="12"/>
      <c r="F19" s="12"/>
      <c r="G19" s="12"/>
      <c r="H19" s="12"/>
      <c r="I19" s="28" t="e">
        <f t="shared" si="0"/>
        <v>#DIV/0!</v>
      </c>
      <c r="J19" s="41"/>
      <c r="K19" s="8" t="s">
        <v>11</v>
      </c>
      <c r="L19" s="8" t="s">
        <v>66</v>
      </c>
      <c r="M19" s="9">
        <v>25</v>
      </c>
    </row>
    <row r="20" spans="1:13" ht="24" x14ac:dyDescent="0.25">
      <c r="A20" s="22" t="s">
        <v>67</v>
      </c>
      <c r="B20" s="45"/>
      <c r="C20" s="13" t="s">
        <v>33</v>
      </c>
      <c r="D20" s="48"/>
      <c r="E20" s="48"/>
      <c r="F20" s="48"/>
      <c r="G20" s="48"/>
      <c r="H20" s="48"/>
      <c r="I20" s="28" t="e">
        <f t="shared" si="0"/>
        <v>#DIV/0!</v>
      </c>
      <c r="J20" s="41"/>
      <c r="K20" s="8" t="s">
        <v>76</v>
      </c>
      <c r="L20" s="8" t="s">
        <v>76</v>
      </c>
      <c r="M20" s="9">
        <v>10</v>
      </c>
    </row>
  </sheetData>
  <mergeCells count="10">
    <mergeCell ref="B2:B5"/>
    <mergeCell ref="D3:H3"/>
    <mergeCell ref="D4:H4"/>
    <mergeCell ref="D5:H5"/>
    <mergeCell ref="B6:B10"/>
    <mergeCell ref="B11:B16"/>
    <mergeCell ref="D15:H15"/>
    <mergeCell ref="D16:H16"/>
    <mergeCell ref="B17:B20"/>
    <mergeCell ref="D20:H2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CC51-BE75-4305-931E-AD5B8401FCB3}">
  <sheetPr codeName="Feuil3"/>
  <dimension ref="A1:M20"/>
  <sheetViews>
    <sheetView workbookViewId="0">
      <selection activeCell="D5" sqref="D5:H5"/>
    </sheetView>
  </sheetViews>
  <sheetFormatPr baseColWidth="10" defaultRowHeight="15" x14ac:dyDescent="0.25"/>
  <cols>
    <col min="1" max="1" width="10.85546875" bestFit="1" customWidth="1"/>
    <col min="2" max="2" width="14.85546875" customWidth="1"/>
    <col min="3" max="3" width="29.5703125" customWidth="1"/>
    <col min="9" max="9" width="17" bestFit="1" customWidth="1"/>
    <col min="10" max="10" width="21" bestFit="1" customWidth="1"/>
    <col min="11" max="11" width="14.85546875" customWidth="1"/>
  </cols>
  <sheetData>
    <row r="1" spans="1:13" x14ac:dyDescent="0.25">
      <c r="A1" s="2" t="s">
        <v>34</v>
      </c>
      <c r="B1" s="2" t="s">
        <v>35</v>
      </c>
      <c r="C1" s="2" t="s">
        <v>36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4" t="s">
        <v>42</v>
      </c>
      <c r="J1" s="19" t="s">
        <v>43</v>
      </c>
      <c r="K1" s="2" t="s">
        <v>0</v>
      </c>
      <c r="L1" s="2" t="s">
        <v>44</v>
      </c>
      <c r="M1" s="2" t="s">
        <v>45</v>
      </c>
    </row>
    <row r="2" spans="1:13" ht="36" x14ac:dyDescent="0.25">
      <c r="A2" s="22" t="s">
        <v>67</v>
      </c>
      <c r="B2" s="49" t="s">
        <v>77</v>
      </c>
      <c r="C2" s="6" t="s">
        <v>68</v>
      </c>
      <c r="D2" s="7">
        <v>15</v>
      </c>
      <c r="E2" s="7"/>
      <c r="F2" s="7"/>
      <c r="G2" s="7"/>
      <c r="H2" s="7"/>
      <c r="I2" s="28">
        <f t="shared" ref="I2:I20" si="0">AVERAGE(D2:H2 )</f>
        <v>15</v>
      </c>
      <c r="J2" s="53">
        <f>ROUND(AVERAGE((I2*M2)+(I3*M3)+(I4*M4)+(I5*M5)) /35, 1)</f>
        <v>15</v>
      </c>
      <c r="K2" s="8" t="s">
        <v>69</v>
      </c>
      <c r="L2" s="8" t="s">
        <v>48</v>
      </c>
      <c r="M2" s="9">
        <v>5</v>
      </c>
    </row>
    <row r="3" spans="1:13" ht="36" x14ac:dyDescent="0.25">
      <c r="A3" s="22" t="s">
        <v>67</v>
      </c>
      <c r="B3" s="49"/>
      <c r="C3" s="6" t="s">
        <v>72</v>
      </c>
      <c r="D3" s="50">
        <v>15</v>
      </c>
      <c r="E3" s="50"/>
      <c r="F3" s="50"/>
      <c r="G3" s="50"/>
      <c r="H3" s="50"/>
      <c r="I3" s="28">
        <f t="shared" si="0"/>
        <v>15</v>
      </c>
      <c r="J3" s="53"/>
      <c r="K3" s="8" t="s">
        <v>73</v>
      </c>
      <c r="L3" s="17" t="s">
        <v>51</v>
      </c>
      <c r="M3" s="9">
        <v>20</v>
      </c>
    </row>
    <row r="4" spans="1:13" x14ac:dyDescent="0.25">
      <c r="A4" s="22" t="s">
        <v>67</v>
      </c>
      <c r="B4" s="49"/>
      <c r="C4" s="18" t="s">
        <v>18</v>
      </c>
      <c r="D4" s="48">
        <v>15</v>
      </c>
      <c r="E4" s="48"/>
      <c r="F4" s="48"/>
      <c r="G4" s="48"/>
      <c r="H4" s="48"/>
      <c r="I4" s="28">
        <f t="shared" si="0"/>
        <v>15</v>
      </c>
      <c r="J4" s="53"/>
      <c r="K4" s="8"/>
      <c r="L4" s="8"/>
      <c r="M4" s="9">
        <v>5</v>
      </c>
    </row>
    <row r="5" spans="1:13" x14ac:dyDescent="0.25">
      <c r="A5" s="22" t="s">
        <v>67</v>
      </c>
      <c r="B5" s="49"/>
      <c r="C5" s="18" t="s">
        <v>19</v>
      </c>
      <c r="D5" s="48">
        <v>15</v>
      </c>
      <c r="E5" s="48"/>
      <c r="F5" s="48"/>
      <c r="G5" s="48"/>
      <c r="H5" s="48"/>
      <c r="I5" s="28">
        <f t="shared" si="0"/>
        <v>15</v>
      </c>
      <c r="J5" s="53"/>
      <c r="K5" s="17" t="s">
        <v>48</v>
      </c>
      <c r="L5" s="17" t="s">
        <v>48</v>
      </c>
      <c r="M5" s="9">
        <v>5</v>
      </c>
    </row>
    <row r="6" spans="1:13" ht="24" x14ac:dyDescent="0.25">
      <c r="A6" s="22" t="s">
        <v>67</v>
      </c>
      <c r="B6" s="51" t="s">
        <v>47</v>
      </c>
      <c r="C6" s="10" t="s">
        <v>13</v>
      </c>
      <c r="D6" s="12"/>
      <c r="E6" s="12"/>
      <c r="F6" s="12"/>
      <c r="G6" s="12"/>
      <c r="H6" s="12"/>
      <c r="I6" s="28" t="e">
        <f t="shared" si="0"/>
        <v>#DIV/0!</v>
      </c>
      <c r="J6" s="52" t="e">
        <f>ROUND(AVERAGE((I6*M6)+(I7*M7)+(I8*M8)+(I9*M9) + (I10 * M10))/65, 1)</f>
        <v>#DIV/0!</v>
      </c>
      <c r="K6" s="8" t="s">
        <v>4</v>
      </c>
      <c r="L6" s="8" t="s">
        <v>5</v>
      </c>
      <c r="M6" s="9">
        <v>15</v>
      </c>
    </row>
    <row r="7" spans="1:13" x14ac:dyDescent="0.25">
      <c r="A7" s="22" t="s">
        <v>67</v>
      </c>
      <c r="B7" s="51"/>
      <c r="C7" s="10" t="s">
        <v>6</v>
      </c>
      <c r="D7" s="12"/>
      <c r="E7" s="12"/>
      <c r="F7" s="12"/>
      <c r="G7" s="12"/>
      <c r="H7" s="12"/>
      <c r="I7" s="28" t="e">
        <f t="shared" si="0"/>
        <v>#DIV/0!</v>
      </c>
      <c r="J7" s="52"/>
      <c r="K7" s="8" t="s">
        <v>5</v>
      </c>
      <c r="L7" s="8" t="s">
        <v>5</v>
      </c>
      <c r="M7" s="9">
        <v>15</v>
      </c>
    </row>
    <row r="8" spans="1:13" ht="24" x14ac:dyDescent="0.25">
      <c r="A8" s="22" t="s">
        <v>67</v>
      </c>
      <c r="B8" s="51"/>
      <c r="C8" s="10" t="s">
        <v>15</v>
      </c>
      <c r="D8" s="12"/>
      <c r="E8" s="12"/>
      <c r="F8" s="12"/>
      <c r="G8" s="12"/>
      <c r="H8" s="12"/>
      <c r="I8" s="28" t="e">
        <f t="shared" si="0"/>
        <v>#DIV/0!</v>
      </c>
      <c r="J8" s="52"/>
      <c r="K8" s="8" t="s">
        <v>70</v>
      </c>
      <c r="L8" s="8" t="s">
        <v>3</v>
      </c>
      <c r="M8" s="9">
        <v>15</v>
      </c>
    </row>
    <row r="9" spans="1:13" ht="24" x14ac:dyDescent="0.25">
      <c r="A9" s="22" t="s">
        <v>67</v>
      </c>
      <c r="B9" s="51"/>
      <c r="C9" s="10" t="s">
        <v>16</v>
      </c>
      <c r="D9" s="12"/>
      <c r="E9" s="12"/>
      <c r="F9" s="12"/>
      <c r="G9" s="12"/>
      <c r="H9" s="12"/>
      <c r="I9" s="28" t="e">
        <f t="shared" si="0"/>
        <v>#DIV/0!</v>
      </c>
      <c r="J9" s="52"/>
      <c r="K9" s="8" t="s">
        <v>71</v>
      </c>
      <c r="L9" s="8" t="s">
        <v>3</v>
      </c>
      <c r="M9" s="9">
        <v>10</v>
      </c>
    </row>
    <row r="10" spans="1:13" ht="36" x14ac:dyDescent="0.25">
      <c r="A10" s="22" t="s">
        <v>67</v>
      </c>
      <c r="B10" s="51"/>
      <c r="C10" s="10" t="s">
        <v>74</v>
      </c>
      <c r="D10" s="48"/>
      <c r="E10" s="48"/>
      <c r="F10" s="48"/>
      <c r="G10" s="48"/>
      <c r="H10" s="48"/>
      <c r="I10" s="28" t="e">
        <f t="shared" si="0"/>
        <v>#DIV/0!</v>
      </c>
      <c r="J10" s="52"/>
      <c r="K10" s="17" t="s">
        <v>53</v>
      </c>
      <c r="L10" s="17" t="s">
        <v>53</v>
      </c>
      <c r="M10" s="9">
        <v>10</v>
      </c>
    </row>
    <row r="11" spans="1:13" x14ac:dyDescent="0.25">
      <c r="A11" s="22" t="s">
        <v>67</v>
      </c>
      <c r="B11" s="47" t="s">
        <v>57</v>
      </c>
      <c r="C11" s="11" t="s">
        <v>22</v>
      </c>
      <c r="D11" s="12"/>
      <c r="E11" s="12"/>
      <c r="F11" s="12"/>
      <c r="G11" s="12"/>
      <c r="H11" s="12"/>
      <c r="I11" s="28" t="e">
        <f t="shared" si="0"/>
        <v>#DIV/0!</v>
      </c>
      <c r="J11" s="54" t="e">
        <f>ROUND(AVERAGE((I11*M11)+(I12*M12)+(I13*M13)+(I14*M14)+(I15*M15)+(I16*M16)) /75, 1)</f>
        <v>#DIV/0!</v>
      </c>
      <c r="K11" s="8" t="s">
        <v>51</v>
      </c>
      <c r="L11" s="8" t="s">
        <v>51</v>
      </c>
      <c r="M11" s="9">
        <v>10</v>
      </c>
    </row>
    <row r="12" spans="1:13" x14ac:dyDescent="0.25">
      <c r="A12" s="22" t="s">
        <v>67</v>
      </c>
      <c r="B12" s="47"/>
      <c r="C12" s="11" t="s">
        <v>75</v>
      </c>
      <c r="D12" s="12"/>
      <c r="E12" s="12"/>
      <c r="F12" s="12"/>
      <c r="G12" s="12"/>
      <c r="H12" s="12"/>
      <c r="I12" s="28" t="e">
        <f t="shared" si="0"/>
        <v>#DIV/0!</v>
      </c>
      <c r="J12" s="54"/>
      <c r="K12" s="8" t="s">
        <v>61</v>
      </c>
      <c r="L12" s="8" t="s">
        <v>61</v>
      </c>
      <c r="M12" s="9">
        <v>15</v>
      </c>
    </row>
    <row r="13" spans="1:13" x14ac:dyDescent="0.25">
      <c r="A13" s="22" t="s">
        <v>67</v>
      </c>
      <c r="B13" s="47"/>
      <c r="C13" s="11" t="s">
        <v>8</v>
      </c>
      <c r="D13" s="12"/>
      <c r="E13" s="12"/>
      <c r="F13" s="12"/>
      <c r="G13" s="12"/>
      <c r="H13" s="12"/>
      <c r="I13" s="28" t="e">
        <f t="shared" si="0"/>
        <v>#DIV/0!</v>
      </c>
      <c r="J13" s="54"/>
      <c r="K13" s="8" t="s">
        <v>51</v>
      </c>
      <c r="L13" s="8" t="s">
        <v>51</v>
      </c>
      <c r="M13" s="9">
        <v>15</v>
      </c>
    </row>
    <row r="14" spans="1:13" x14ac:dyDescent="0.25">
      <c r="A14" s="22" t="s">
        <v>67</v>
      </c>
      <c r="B14" s="47"/>
      <c r="C14" s="11" t="s">
        <v>24</v>
      </c>
      <c r="D14" s="12"/>
      <c r="E14" s="12"/>
      <c r="F14" s="12"/>
      <c r="G14" s="12"/>
      <c r="H14" s="12"/>
      <c r="I14" s="28" t="e">
        <f t="shared" si="0"/>
        <v>#DIV/0!</v>
      </c>
      <c r="J14" s="54"/>
      <c r="K14" s="8" t="s">
        <v>51</v>
      </c>
      <c r="L14" s="8" t="s">
        <v>51</v>
      </c>
      <c r="M14" s="9">
        <v>15</v>
      </c>
    </row>
    <row r="15" spans="1:13" ht="24" x14ac:dyDescent="0.25">
      <c r="A15" s="22" t="s">
        <v>67</v>
      </c>
      <c r="B15" s="47"/>
      <c r="C15" s="11" t="s">
        <v>26</v>
      </c>
      <c r="D15" s="48"/>
      <c r="E15" s="48"/>
      <c r="F15" s="48"/>
      <c r="G15" s="48"/>
      <c r="H15" s="48"/>
      <c r="I15" s="28" t="e">
        <f t="shared" si="0"/>
        <v>#DIV/0!</v>
      </c>
      <c r="J15" s="54"/>
      <c r="K15" s="8" t="s">
        <v>61</v>
      </c>
      <c r="L15" s="8" t="s">
        <v>61</v>
      </c>
      <c r="M15" s="9">
        <v>10</v>
      </c>
    </row>
    <row r="16" spans="1:13" ht="24" x14ac:dyDescent="0.25">
      <c r="A16" s="22" t="s">
        <v>67</v>
      </c>
      <c r="B16" s="47"/>
      <c r="C16" s="11" t="s">
        <v>28</v>
      </c>
      <c r="D16" s="48"/>
      <c r="E16" s="48"/>
      <c r="F16" s="48"/>
      <c r="G16" s="48"/>
      <c r="H16" s="48"/>
      <c r="I16" s="28" t="e">
        <f t="shared" si="0"/>
        <v>#DIV/0!</v>
      </c>
      <c r="J16" s="54"/>
      <c r="K16" s="8" t="s">
        <v>51</v>
      </c>
      <c r="L16" s="8" t="s">
        <v>51</v>
      </c>
      <c r="M16" s="9">
        <v>10</v>
      </c>
    </row>
    <row r="17" spans="1:13" ht="24" x14ac:dyDescent="0.25">
      <c r="A17" s="22" t="s">
        <v>67</v>
      </c>
      <c r="B17" s="45" t="s">
        <v>63</v>
      </c>
      <c r="C17" s="13" t="s">
        <v>10</v>
      </c>
      <c r="D17" s="12"/>
      <c r="E17" s="12"/>
      <c r="F17" s="12"/>
      <c r="G17" s="12"/>
      <c r="H17" s="12"/>
      <c r="I17" s="28" t="e">
        <f t="shared" si="0"/>
        <v>#DIV/0!</v>
      </c>
      <c r="J17" s="55" t="e">
        <f>ROUND(AVERAGE(((I17*M17)+(I18*M18)+(I19*M19)+(I20*M20)) /65), 1)</f>
        <v>#DIV/0!</v>
      </c>
      <c r="K17" s="8" t="s">
        <v>64</v>
      </c>
      <c r="L17" s="8" t="s">
        <v>64</v>
      </c>
      <c r="M17" s="9">
        <v>15</v>
      </c>
    </row>
    <row r="18" spans="1:13" x14ac:dyDescent="0.25">
      <c r="A18" s="22" t="s">
        <v>67</v>
      </c>
      <c r="B18" s="45"/>
      <c r="C18" s="13" t="s">
        <v>31</v>
      </c>
      <c r="D18" s="12"/>
      <c r="E18" s="12"/>
      <c r="F18" s="12"/>
      <c r="G18" s="12"/>
      <c r="H18" s="12"/>
      <c r="I18" s="28" t="e">
        <f t="shared" si="0"/>
        <v>#DIV/0!</v>
      </c>
      <c r="J18" s="55"/>
      <c r="K18" s="8" t="s">
        <v>48</v>
      </c>
      <c r="L18" s="8" t="s">
        <v>48</v>
      </c>
      <c r="M18" s="9">
        <v>15</v>
      </c>
    </row>
    <row r="19" spans="1:13" ht="36" x14ac:dyDescent="0.25">
      <c r="A19" s="22" t="s">
        <v>67</v>
      </c>
      <c r="B19" s="45"/>
      <c r="C19" s="13" t="s">
        <v>32</v>
      </c>
      <c r="D19" s="12"/>
      <c r="E19" s="12"/>
      <c r="F19" s="12"/>
      <c r="G19" s="12"/>
      <c r="H19" s="12"/>
      <c r="I19" s="28" t="e">
        <f t="shared" si="0"/>
        <v>#DIV/0!</v>
      </c>
      <c r="J19" s="55"/>
      <c r="K19" s="8" t="s">
        <v>11</v>
      </c>
      <c r="L19" s="8" t="s">
        <v>66</v>
      </c>
      <c r="M19" s="9">
        <v>25</v>
      </c>
    </row>
    <row r="20" spans="1:13" ht="24" x14ac:dyDescent="0.25">
      <c r="A20" s="22" t="s">
        <v>67</v>
      </c>
      <c r="B20" s="45"/>
      <c r="C20" s="13" t="s">
        <v>33</v>
      </c>
      <c r="D20" s="48"/>
      <c r="E20" s="48"/>
      <c r="F20" s="48"/>
      <c r="G20" s="48"/>
      <c r="H20" s="48"/>
      <c r="I20" s="28" t="e">
        <f t="shared" si="0"/>
        <v>#DIV/0!</v>
      </c>
      <c r="J20" s="55"/>
      <c r="K20" s="8" t="s">
        <v>76</v>
      </c>
      <c r="L20" s="8" t="s">
        <v>76</v>
      </c>
      <c r="M20" s="9">
        <v>10</v>
      </c>
    </row>
  </sheetData>
  <mergeCells count="15">
    <mergeCell ref="B11:B16"/>
    <mergeCell ref="J11:J16"/>
    <mergeCell ref="D15:H15"/>
    <mergeCell ref="D16:H16"/>
    <mergeCell ref="B17:B20"/>
    <mergeCell ref="J17:J20"/>
    <mergeCell ref="D20:H20"/>
    <mergeCell ref="B6:B10"/>
    <mergeCell ref="J6:J10"/>
    <mergeCell ref="D10:H10"/>
    <mergeCell ref="B2:B5"/>
    <mergeCell ref="J2:J5"/>
    <mergeCell ref="D3:H3"/>
    <mergeCell ref="D4:H4"/>
    <mergeCell ref="D5:H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C0938-116D-458B-A4D5-71DD6668D571}">
  <sheetPr codeName="Feuil1"/>
  <dimension ref="A1:M46"/>
  <sheetViews>
    <sheetView workbookViewId="0">
      <selection activeCell="D13" sqref="D13"/>
    </sheetView>
  </sheetViews>
  <sheetFormatPr baseColWidth="10" defaultColWidth="11.42578125" defaultRowHeight="15" x14ac:dyDescent="0.25"/>
  <cols>
    <col min="1" max="1" width="11.140625" customWidth="1"/>
    <col min="2" max="2" width="15.5703125" customWidth="1"/>
    <col min="3" max="3" width="30.5703125" customWidth="1"/>
    <col min="4" max="8" width="16.140625" customWidth="1"/>
    <col min="9" max="9" width="17" bestFit="1" customWidth="1"/>
    <col min="10" max="10" width="21" bestFit="1" customWidth="1"/>
    <col min="11" max="11" width="15.28515625" customWidth="1"/>
    <col min="12" max="12" width="13.42578125" bestFit="1" customWidth="1"/>
  </cols>
  <sheetData>
    <row r="1" spans="1:13" x14ac:dyDescent="0.25">
      <c r="A1" s="2" t="s">
        <v>34</v>
      </c>
      <c r="B1" s="2" t="s">
        <v>35</v>
      </c>
      <c r="C1" s="2" t="s">
        <v>36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4" t="s">
        <v>42</v>
      </c>
      <c r="J1" s="5" t="s">
        <v>43</v>
      </c>
      <c r="K1" s="2" t="s">
        <v>0</v>
      </c>
      <c r="L1" s="2" t="s">
        <v>44</v>
      </c>
      <c r="M1" s="2" t="s">
        <v>45</v>
      </c>
    </row>
    <row r="2" spans="1:13" x14ac:dyDescent="0.25">
      <c r="A2" s="66" t="s">
        <v>46</v>
      </c>
      <c r="B2" s="51" t="s">
        <v>47</v>
      </c>
      <c r="C2" s="6" t="s">
        <v>12</v>
      </c>
      <c r="D2" s="7">
        <v>1</v>
      </c>
      <c r="E2" s="7">
        <v>3</v>
      </c>
      <c r="F2" s="7">
        <v>7</v>
      </c>
      <c r="G2" s="7">
        <v>12</v>
      </c>
      <c r="H2" s="7">
        <v>20</v>
      </c>
      <c r="I2" s="7">
        <f>AVERAGE(D2:H2 )</f>
        <v>8.6</v>
      </c>
      <c r="J2" s="69">
        <f>AVERAGE(((I2 * M2) + (I3 * M3) + (I4 * M4) + (I5 * M5) + (I6 * M6) + (I7 * M7)) / 100)</f>
        <v>8.16</v>
      </c>
      <c r="K2" s="8" t="s">
        <v>48</v>
      </c>
      <c r="L2" s="8" t="s">
        <v>48</v>
      </c>
      <c r="M2" s="9">
        <v>5</v>
      </c>
    </row>
    <row r="3" spans="1:13" ht="24" x14ac:dyDescent="0.25">
      <c r="A3" s="66"/>
      <c r="B3" s="51"/>
      <c r="C3" s="10" t="s">
        <v>49</v>
      </c>
      <c r="D3" s="7">
        <v>1</v>
      </c>
      <c r="E3" s="7">
        <v>3</v>
      </c>
      <c r="F3" s="7">
        <v>7</v>
      </c>
      <c r="G3" s="7">
        <v>12</v>
      </c>
      <c r="H3" s="7">
        <v>20</v>
      </c>
      <c r="I3" s="7">
        <f t="shared" ref="I3:I42" si="0">AVERAGE(D3:H3 )</f>
        <v>8.6</v>
      </c>
      <c r="J3" s="70"/>
      <c r="K3" s="8" t="s">
        <v>50</v>
      </c>
      <c r="L3" s="8" t="s">
        <v>51</v>
      </c>
      <c r="M3" s="9">
        <v>15</v>
      </c>
    </row>
    <row r="4" spans="1:13" x14ac:dyDescent="0.25">
      <c r="A4" s="66"/>
      <c r="B4" s="51"/>
      <c r="C4" s="10" t="s">
        <v>52</v>
      </c>
      <c r="D4" s="7">
        <v>1</v>
      </c>
      <c r="E4" s="7">
        <v>3</v>
      </c>
      <c r="F4" s="7">
        <v>7</v>
      </c>
      <c r="G4" s="7">
        <v>12</v>
      </c>
      <c r="H4" s="7">
        <v>20</v>
      </c>
      <c r="I4" s="7">
        <f t="shared" si="0"/>
        <v>8.6</v>
      </c>
      <c r="J4" s="70"/>
      <c r="K4" s="8" t="s">
        <v>53</v>
      </c>
      <c r="L4" s="8" t="s">
        <v>5</v>
      </c>
      <c r="M4" s="9">
        <v>20</v>
      </c>
    </row>
    <row r="5" spans="1:13" x14ac:dyDescent="0.25">
      <c r="A5" s="66"/>
      <c r="B5" s="51"/>
      <c r="C5" s="10" t="s">
        <v>14</v>
      </c>
      <c r="D5" s="7">
        <v>1</v>
      </c>
      <c r="E5" s="7">
        <v>3</v>
      </c>
      <c r="F5" s="7">
        <v>7</v>
      </c>
      <c r="G5" s="7">
        <v>12</v>
      </c>
      <c r="H5" s="7">
        <v>20</v>
      </c>
      <c r="I5" s="7">
        <f t="shared" si="0"/>
        <v>8.6</v>
      </c>
      <c r="J5" s="70"/>
      <c r="K5" s="8" t="s">
        <v>53</v>
      </c>
      <c r="L5" s="8" t="s">
        <v>53</v>
      </c>
      <c r="M5" s="9">
        <v>20</v>
      </c>
    </row>
    <row r="6" spans="1:13" ht="24" x14ac:dyDescent="0.25">
      <c r="A6" s="66"/>
      <c r="B6" s="51"/>
      <c r="C6" s="10" t="s">
        <v>54</v>
      </c>
      <c r="D6" s="72">
        <v>4</v>
      </c>
      <c r="E6" s="73"/>
      <c r="F6" s="73"/>
      <c r="G6" s="73"/>
      <c r="H6" s="74"/>
      <c r="I6" s="7">
        <f>D6</f>
        <v>4</v>
      </c>
      <c r="J6" s="70"/>
      <c r="K6" s="8" t="s">
        <v>55</v>
      </c>
      <c r="L6" s="8" t="s">
        <v>53</v>
      </c>
      <c r="M6" s="9">
        <v>30</v>
      </c>
    </row>
    <row r="7" spans="1:13" ht="24" x14ac:dyDescent="0.25">
      <c r="A7" s="66"/>
      <c r="B7" s="51"/>
      <c r="C7" s="10" t="s">
        <v>56</v>
      </c>
      <c r="D7" s="72">
        <v>18</v>
      </c>
      <c r="E7" s="73"/>
      <c r="F7" s="73"/>
      <c r="G7" s="73"/>
      <c r="H7" s="74"/>
      <c r="I7" s="7">
        <f>D7</f>
        <v>18</v>
      </c>
      <c r="J7" s="71"/>
      <c r="K7" s="8" t="s">
        <v>53</v>
      </c>
      <c r="L7" s="8" t="s">
        <v>5</v>
      </c>
      <c r="M7" s="9">
        <v>10</v>
      </c>
    </row>
    <row r="8" spans="1:13" x14ac:dyDescent="0.25">
      <c r="A8" s="66"/>
      <c r="B8" s="47" t="s">
        <v>57</v>
      </c>
      <c r="C8" s="6" t="s">
        <v>12</v>
      </c>
      <c r="D8" s="7">
        <v>4</v>
      </c>
      <c r="E8" s="7">
        <v>4</v>
      </c>
      <c r="F8" s="7">
        <v>4</v>
      </c>
      <c r="G8" s="7">
        <v>4</v>
      </c>
      <c r="H8" s="7">
        <v>4</v>
      </c>
      <c r="I8" s="7">
        <f t="shared" si="0"/>
        <v>4</v>
      </c>
      <c r="J8" s="62">
        <f>AVERAGE(((I8 * M8) + (I9 * M9) + (I10 * M10) + (I11 * M11) + (I12 * M12)) / 100)</f>
        <v>5.2</v>
      </c>
      <c r="K8" s="8" t="s">
        <v>1</v>
      </c>
      <c r="L8" s="8" t="s">
        <v>48</v>
      </c>
      <c r="M8" s="9">
        <v>5</v>
      </c>
    </row>
    <row r="9" spans="1:13" x14ac:dyDescent="0.25">
      <c r="A9" s="66"/>
      <c r="B9" s="47"/>
      <c r="C9" s="11" t="s">
        <v>58</v>
      </c>
      <c r="D9" s="12">
        <v>4</v>
      </c>
      <c r="E9" s="12">
        <v>4</v>
      </c>
      <c r="F9" s="12">
        <v>4</v>
      </c>
      <c r="G9" s="12">
        <v>4</v>
      </c>
      <c r="H9" s="12">
        <v>4</v>
      </c>
      <c r="I9" s="7">
        <f t="shared" si="0"/>
        <v>4</v>
      </c>
      <c r="J9" s="63"/>
      <c r="K9" s="8" t="s">
        <v>59</v>
      </c>
      <c r="L9" s="8" t="s">
        <v>59</v>
      </c>
      <c r="M9" s="9">
        <v>20</v>
      </c>
    </row>
    <row r="10" spans="1:13" x14ac:dyDescent="0.25">
      <c r="A10" s="66"/>
      <c r="B10" s="47"/>
      <c r="C10" s="11" t="s">
        <v>60</v>
      </c>
      <c r="D10" s="12">
        <v>44</v>
      </c>
      <c r="E10" s="12">
        <v>4</v>
      </c>
      <c r="F10" s="12">
        <v>4</v>
      </c>
      <c r="G10" s="12">
        <v>4</v>
      </c>
      <c r="H10" s="12">
        <v>4</v>
      </c>
      <c r="I10" s="7">
        <f t="shared" si="0"/>
        <v>12</v>
      </c>
      <c r="J10" s="63"/>
      <c r="K10" s="8" t="s">
        <v>61</v>
      </c>
      <c r="L10" s="8" t="s">
        <v>61</v>
      </c>
      <c r="M10" s="9">
        <v>15</v>
      </c>
    </row>
    <row r="11" spans="1:13" x14ac:dyDescent="0.25">
      <c r="A11" s="66"/>
      <c r="B11" s="47"/>
      <c r="C11" s="11" t="s">
        <v>20</v>
      </c>
      <c r="D11" s="12">
        <v>4</v>
      </c>
      <c r="E11" s="12">
        <v>4</v>
      </c>
      <c r="F11" s="12">
        <v>4</v>
      </c>
      <c r="G11" s="12">
        <v>4</v>
      </c>
      <c r="H11" s="12">
        <v>4</v>
      </c>
      <c r="I11" s="7">
        <f t="shared" si="0"/>
        <v>4</v>
      </c>
      <c r="J11" s="63"/>
      <c r="K11" s="8" t="s">
        <v>51</v>
      </c>
      <c r="L11" s="8" t="s">
        <v>51</v>
      </c>
      <c r="M11" s="9">
        <v>20</v>
      </c>
    </row>
    <row r="12" spans="1:13" ht="36" x14ac:dyDescent="0.25">
      <c r="A12" s="66"/>
      <c r="B12" s="47"/>
      <c r="C12" s="11" t="s">
        <v>21</v>
      </c>
      <c r="D12" s="59">
        <v>4</v>
      </c>
      <c r="E12" s="60"/>
      <c r="F12" s="60"/>
      <c r="G12" s="60"/>
      <c r="H12" s="61"/>
      <c r="I12" s="7">
        <f>D12</f>
        <v>4</v>
      </c>
      <c r="J12" s="64"/>
      <c r="K12" s="8" t="s">
        <v>9</v>
      </c>
      <c r="L12" s="8" t="s">
        <v>62</v>
      </c>
      <c r="M12" s="9">
        <v>40</v>
      </c>
    </row>
    <row r="13" spans="1:13" x14ac:dyDescent="0.25">
      <c r="A13" s="66"/>
      <c r="B13" s="45" t="s">
        <v>63</v>
      </c>
      <c r="C13" s="6" t="s">
        <v>12</v>
      </c>
      <c r="D13" s="7"/>
      <c r="E13" s="7"/>
      <c r="F13" s="7"/>
      <c r="G13" s="7"/>
      <c r="H13" s="7"/>
      <c r="I13" s="7" t="e">
        <f t="shared" si="0"/>
        <v>#DIV/0!</v>
      </c>
      <c r="J13" s="56" t="e">
        <f>AVERAGE(((I13*M13)+(I14*M14)+(I15*M15)+(I16*M16)+(I17*M17)+(I18*M18)+(I19*M19)) /100)</f>
        <v>#DIV/0!</v>
      </c>
      <c r="K13" s="1" t="s">
        <v>1</v>
      </c>
      <c r="L13" s="1" t="s">
        <v>48</v>
      </c>
      <c r="M13" s="9">
        <v>5</v>
      </c>
    </row>
    <row r="14" spans="1:13" x14ac:dyDescent="0.25">
      <c r="A14" s="66"/>
      <c r="B14" s="45"/>
      <c r="C14" s="13" t="s">
        <v>23</v>
      </c>
      <c r="D14" s="12"/>
      <c r="E14" s="12"/>
      <c r="F14" s="12"/>
      <c r="G14" s="12"/>
      <c r="H14" s="12"/>
      <c r="I14" s="7" t="e">
        <f t="shared" si="0"/>
        <v>#DIV/0!</v>
      </c>
      <c r="J14" s="57"/>
      <c r="K14" s="8" t="s">
        <v>64</v>
      </c>
      <c r="L14" s="8" t="s">
        <v>64</v>
      </c>
      <c r="M14" s="9">
        <v>15</v>
      </c>
    </row>
    <row r="15" spans="1:13" ht="24" x14ac:dyDescent="0.25">
      <c r="A15" s="66"/>
      <c r="B15" s="45"/>
      <c r="C15" s="13" t="s">
        <v>25</v>
      </c>
      <c r="D15" s="12"/>
      <c r="E15" s="12"/>
      <c r="F15" s="12"/>
      <c r="G15" s="12"/>
      <c r="H15" s="12"/>
      <c r="I15" s="7" t="e">
        <f t="shared" si="0"/>
        <v>#DIV/0!</v>
      </c>
      <c r="J15" s="57"/>
      <c r="K15" s="8" t="s">
        <v>48</v>
      </c>
      <c r="L15" s="8" t="s">
        <v>48</v>
      </c>
      <c r="M15" s="9">
        <v>15</v>
      </c>
    </row>
    <row r="16" spans="1:13" ht="36" x14ac:dyDescent="0.25">
      <c r="A16" s="66"/>
      <c r="B16" s="45"/>
      <c r="C16" s="13" t="s">
        <v>65</v>
      </c>
      <c r="D16" s="12"/>
      <c r="E16" s="12"/>
      <c r="F16" s="12"/>
      <c r="G16" s="12"/>
      <c r="H16" s="12"/>
      <c r="I16" s="7" t="e">
        <f t="shared" si="0"/>
        <v>#DIV/0!</v>
      </c>
      <c r="J16" s="57"/>
      <c r="K16" s="8" t="s">
        <v>9</v>
      </c>
      <c r="L16" s="8" t="s">
        <v>7</v>
      </c>
      <c r="M16" s="9">
        <v>25</v>
      </c>
    </row>
    <row r="17" spans="1:13" ht="24" x14ac:dyDescent="0.25">
      <c r="A17" s="66"/>
      <c r="B17" s="45"/>
      <c r="C17" s="13" t="s">
        <v>27</v>
      </c>
      <c r="D17" s="59"/>
      <c r="E17" s="60"/>
      <c r="F17" s="60"/>
      <c r="G17" s="60"/>
      <c r="H17" s="61"/>
      <c r="I17" s="7">
        <f>D17</f>
        <v>0</v>
      </c>
      <c r="J17" s="57"/>
      <c r="K17" s="8" t="s">
        <v>59</v>
      </c>
      <c r="L17" s="8" t="s">
        <v>59</v>
      </c>
      <c r="M17" s="9">
        <v>15</v>
      </c>
    </row>
    <row r="18" spans="1:13" ht="24" x14ac:dyDescent="0.25">
      <c r="A18" s="66"/>
      <c r="B18" s="45"/>
      <c r="C18" s="13" t="s">
        <v>29</v>
      </c>
      <c r="D18" s="59"/>
      <c r="E18" s="60"/>
      <c r="F18" s="60"/>
      <c r="G18" s="60"/>
      <c r="H18" s="61"/>
      <c r="I18" s="7">
        <f>D18</f>
        <v>0</v>
      </c>
      <c r="J18" s="57"/>
      <c r="K18" s="8" t="s">
        <v>48</v>
      </c>
      <c r="L18" s="8" t="s">
        <v>48</v>
      </c>
      <c r="M18" s="9">
        <v>10</v>
      </c>
    </row>
    <row r="19" spans="1:13" x14ac:dyDescent="0.25">
      <c r="A19" s="67"/>
      <c r="B19" s="68"/>
      <c r="C19" s="14" t="s">
        <v>30</v>
      </c>
      <c r="D19" s="59"/>
      <c r="E19" s="60"/>
      <c r="F19" s="60"/>
      <c r="G19" s="60"/>
      <c r="H19" s="61"/>
      <c r="I19" s="7">
        <f>D19</f>
        <v>0</v>
      </c>
      <c r="J19" s="58"/>
      <c r="K19" s="15" t="s">
        <v>66</v>
      </c>
      <c r="L19" s="15" t="s">
        <v>66</v>
      </c>
      <c r="M19" s="16">
        <v>15</v>
      </c>
    </row>
    <row r="20" spans="1:13" ht="24" x14ac:dyDescent="0.25">
      <c r="A20" s="65" t="s">
        <v>67</v>
      </c>
      <c r="B20" s="51" t="s">
        <v>47</v>
      </c>
      <c r="C20" s="6" t="s">
        <v>68</v>
      </c>
      <c r="D20" s="7"/>
      <c r="E20" s="7"/>
      <c r="F20" s="7"/>
      <c r="G20" s="7"/>
      <c r="H20" s="7"/>
      <c r="I20" s="7" t="e">
        <f t="shared" si="0"/>
        <v>#DIV/0!</v>
      </c>
      <c r="J20" s="69" t="e">
        <f>AVERAGE(((I20*M20)+(I21*M21)+(I22*M23)+(I24*M24)+(I25*M25)+(I26*M26)+(I27*M27) + (I28 * M28)) /100)</f>
        <v>#DIV/0!</v>
      </c>
      <c r="K20" s="8" t="s">
        <v>69</v>
      </c>
      <c r="L20" s="8" t="s">
        <v>48</v>
      </c>
      <c r="M20" s="9">
        <v>5</v>
      </c>
    </row>
    <row r="21" spans="1:13" ht="24" x14ac:dyDescent="0.25">
      <c r="A21" s="65"/>
      <c r="B21" s="51"/>
      <c r="C21" s="10" t="s">
        <v>13</v>
      </c>
      <c r="D21" s="12"/>
      <c r="E21" s="12"/>
      <c r="F21" s="12"/>
      <c r="G21" s="12"/>
      <c r="H21" s="12"/>
      <c r="I21" s="7" t="e">
        <f t="shared" si="0"/>
        <v>#DIV/0!</v>
      </c>
      <c r="J21" s="70"/>
      <c r="K21" s="8" t="s">
        <v>4</v>
      </c>
      <c r="L21" s="8" t="s">
        <v>5</v>
      </c>
      <c r="M21" s="9">
        <v>15</v>
      </c>
    </row>
    <row r="22" spans="1:13" x14ac:dyDescent="0.25">
      <c r="A22" s="65"/>
      <c r="B22" s="51"/>
      <c r="C22" s="10" t="s">
        <v>6</v>
      </c>
      <c r="D22" s="12"/>
      <c r="E22" s="12"/>
      <c r="F22" s="12"/>
      <c r="G22" s="12"/>
      <c r="H22" s="12"/>
      <c r="I22" s="7" t="e">
        <f t="shared" si="0"/>
        <v>#DIV/0!</v>
      </c>
      <c r="J22" s="70"/>
      <c r="K22" s="8" t="s">
        <v>5</v>
      </c>
      <c r="L22" s="8" t="s">
        <v>5</v>
      </c>
      <c r="M22" s="9">
        <v>15</v>
      </c>
    </row>
    <row r="23" spans="1:13" ht="24" x14ac:dyDescent="0.25">
      <c r="A23" s="65"/>
      <c r="B23" s="51"/>
      <c r="C23" s="10" t="s">
        <v>15</v>
      </c>
      <c r="D23" s="12"/>
      <c r="E23" s="12"/>
      <c r="F23" s="12"/>
      <c r="G23" s="12"/>
      <c r="H23" s="12"/>
      <c r="I23" s="7" t="e">
        <f t="shared" si="0"/>
        <v>#DIV/0!</v>
      </c>
      <c r="J23" s="70"/>
      <c r="K23" s="8" t="s">
        <v>70</v>
      </c>
      <c r="L23" s="8" t="s">
        <v>3</v>
      </c>
      <c r="M23" s="9">
        <v>15</v>
      </c>
    </row>
    <row r="24" spans="1:13" ht="24" x14ac:dyDescent="0.25">
      <c r="A24" s="65"/>
      <c r="B24" s="51"/>
      <c r="C24" s="10" t="s">
        <v>16</v>
      </c>
      <c r="D24" s="12"/>
      <c r="E24" s="12"/>
      <c r="F24" s="12"/>
      <c r="G24" s="12"/>
      <c r="H24" s="12"/>
      <c r="I24" s="7" t="e">
        <f t="shared" si="0"/>
        <v>#DIV/0!</v>
      </c>
      <c r="J24" s="70"/>
      <c r="K24" s="8" t="s">
        <v>71</v>
      </c>
      <c r="L24" s="8" t="s">
        <v>3</v>
      </c>
      <c r="M24" s="9">
        <v>10</v>
      </c>
    </row>
    <row r="25" spans="1:13" ht="36" x14ac:dyDescent="0.25">
      <c r="A25" s="65"/>
      <c r="B25" s="51"/>
      <c r="C25" s="6" t="s">
        <v>72</v>
      </c>
      <c r="D25" s="72"/>
      <c r="E25" s="73"/>
      <c r="F25" s="73"/>
      <c r="G25" s="73"/>
      <c r="H25" s="74"/>
      <c r="I25" s="7">
        <f>D25</f>
        <v>0</v>
      </c>
      <c r="J25" s="70"/>
      <c r="K25" s="8" t="s">
        <v>73</v>
      </c>
      <c r="L25" s="17" t="s">
        <v>51</v>
      </c>
      <c r="M25" s="9">
        <v>20</v>
      </c>
    </row>
    <row r="26" spans="1:13" ht="24" x14ac:dyDescent="0.25">
      <c r="A26" s="65"/>
      <c r="B26" s="51"/>
      <c r="C26" s="10" t="s">
        <v>74</v>
      </c>
      <c r="D26" s="59"/>
      <c r="E26" s="60"/>
      <c r="F26" s="60"/>
      <c r="G26" s="60"/>
      <c r="H26" s="61"/>
      <c r="I26" s="7">
        <f>D26</f>
        <v>0</v>
      </c>
      <c r="J26" s="70"/>
      <c r="K26" s="17" t="s">
        <v>53</v>
      </c>
      <c r="L26" s="17" t="s">
        <v>53</v>
      </c>
      <c r="M26" s="9">
        <v>10</v>
      </c>
    </row>
    <row r="27" spans="1:13" x14ac:dyDescent="0.25">
      <c r="A27" s="65"/>
      <c r="B27" s="51"/>
      <c r="C27" s="18" t="s">
        <v>18</v>
      </c>
      <c r="D27" s="59"/>
      <c r="E27" s="60"/>
      <c r="F27" s="60"/>
      <c r="G27" s="60"/>
      <c r="H27" s="61"/>
      <c r="I27" s="7">
        <f>D27</f>
        <v>0</v>
      </c>
      <c r="J27" s="70"/>
      <c r="K27" s="17"/>
      <c r="L27" s="17"/>
      <c r="M27" s="9">
        <v>5</v>
      </c>
    </row>
    <row r="28" spans="1:13" x14ac:dyDescent="0.25">
      <c r="A28" s="65"/>
      <c r="B28" s="51"/>
      <c r="C28" s="18" t="s">
        <v>19</v>
      </c>
      <c r="D28" s="59"/>
      <c r="E28" s="60"/>
      <c r="F28" s="60"/>
      <c r="G28" s="60"/>
      <c r="H28" s="61"/>
      <c r="I28" s="7">
        <f>D28</f>
        <v>0</v>
      </c>
      <c r="J28" s="71"/>
      <c r="K28" s="17" t="s">
        <v>48</v>
      </c>
      <c r="L28" s="17" t="s">
        <v>48</v>
      </c>
      <c r="M28" s="9">
        <v>5</v>
      </c>
    </row>
    <row r="29" spans="1:13" ht="24" x14ac:dyDescent="0.25">
      <c r="A29" s="65"/>
      <c r="B29" s="47" t="s">
        <v>57</v>
      </c>
      <c r="C29" s="6" t="s">
        <v>2</v>
      </c>
      <c r="D29" s="7"/>
      <c r="E29" s="7"/>
      <c r="F29" s="7"/>
      <c r="G29" s="7"/>
      <c r="H29" s="7"/>
      <c r="I29" s="7" t="e">
        <f t="shared" si="0"/>
        <v>#DIV/0!</v>
      </c>
      <c r="J29" s="62" t="e">
        <f>AVERAGE(((I29*M29)+(I30*M30)+(I31*M31)+(I32*M32)+(I33*M33)+(I34*M34)+(I35*M36) + (I37 * M37) + (I38 * M38)) /100)</f>
        <v>#DIV/0!</v>
      </c>
      <c r="K29" s="8" t="s">
        <v>69</v>
      </c>
      <c r="L29" s="17" t="s">
        <v>48</v>
      </c>
      <c r="M29" s="9">
        <v>5</v>
      </c>
    </row>
    <row r="30" spans="1:13" x14ac:dyDescent="0.25">
      <c r="A30" s="65"/>
      <c r="B30" s="47"/>
      <c r="C30" s="11" t="s">
        <v>22</v>
      </c>
      <c r="D30" s="12"/>
      <c r="E30" s="12"/>
      <c r="F30" s="12"/>
      <c r="G30" s="12"/>
      <c r="H30" s="12"/>
      <c r="I30" s="7" t="e">
        <f t="shared" si="0"/>
        <v>#DIV/0!</v>
      </c>
      <c r="J30" s="63"/>
      <c r="K30" s="8" t="s">
        <v>51</v>
      </c>
      <c r="L30" s="8" t="s">
        <v>51</v>
      </c>
      <c r="M30" s="9">
        <v>10</v>
      </c>
    </row>
    <row r="31" spans="1:13" x14ac:dyDescent="0.25">
      <c r="A31" s="65"/>
      <c r="B31" s="47"/>
      <c r="C31" s="11" t="s">
        <v>75</v>
      </c>
      <c r="D31" s="12"/>
      <c r="E31" s="12"/>
      <c r="F31" s="12"/>
      <c r="G31" s="12"/>
      <c r="H31" s="12"/>
      <c r="I31" s="7" t="e">
        <f t="shared" si="0"/>
        <v>#DIV/0!</v>
      </c>
      <c r="J31" s="63"/>
      <c r="K31" s="8" t="s">
        <v>61</v>
      </c>
      <c r="L31" s="8" t="s">
        <v>61</v>
      </c>
      <c r="M31" s="9">
        <v>15</v>
      </c>
    </row>
    <row r="32" spans="1:13" x14ac:dyDescent="0.25">
      <c r="A32" s="65"/>
      <c r="B32" s="47"/>
      <c r="C32" s="11" t="s">
        <v>8</v>
      </c>
      <c r="D32" s="12"/>
      <c r="E32" s="12"/>
      <c r="F32" s="12"/>
      <c r="G32" s="12"/>
      <c r="H32" s="12"/>
      <c r="I32" s="7" t="e">
        <f t="shared" si="0"/>
        <v>#DIV/0!</v>
      </c>
      <c r="J32" s="63"/>
      <c r="K32" s="8" t="s">
        <v>51</v>
      </c>
      <c r="L32" s="8" t="s">
        <v>51</v>
      </c>
      <c r="M32" s="9">
        <v>15</v>
      </c>
    </row>
    <row r="33" spans="1:13" x14ac:dyDescent="0.25">
      <c r="A33" s="65"/>
      <c r="B33" s="47"/>
      <c r="C33" s="11" t="s">
        <v>24</v>
      </c>
      <c r="D33" s="12"/>
      <c r="E33" s="12"/>
      <c r="F33" s="12"/>
      <c r="G33" s="12"/>
      <c r="H33" s="12"/>
      <c r="I33" s="7" t="e">
        <f t="shared" si="0"/>
        <v>#DIV/0!</v>
      </c>
      <c r="J33" s="63"/>
      <c r="K33" s="8" t="s">
        <v>51</v>
      </c>
      <c r="L33" s="8" t="s">
        <v>51</v>
      </c>
      <c r="M33" s="9">
        <v>15</v>
      </c>
    </row>
    <row r="34" spans="1:13" ht="36" x14ac:dyDescent="0.25">
      <c r="A34" s="65"/>
      <c r="B34" s="47"/>
      <c r="C34" s="18" t="s">
        <v>17</v>
      </c>
      <c r="D34" s="59"/>
      <c r="E34" s="60"/>
      <c r="F34" s="60"/>
      <c r="G34" s="60"/>
      <c r="H34" s="61"/>
      <c r="I34" s="7">
        <f>D34</f>
        <v>0</v>
      </c>
      <c r="J34" s="63"/>
      <c r="K34" s="8" t="s">
        <v>73</v>
      </c>
      <c r="L34" s="17" t="s">
        <v>51</v>
      </c>
      <c r="M34" s="9">
        <v>10</v>
      </c>
    </row>
    <row r="35" spans="1:13" x14ac:dyDescent="0.25">
      <c r="A35" s="65"/>
      <c r="B35" s="47"/>
      <c r="C35" s="11" t="s">
        <v>26</v>
      </c>
      <c r="D35" s="59"/>
      <c r="E35" s="60"/>
      <c r="F35" s="60"/>
      <c r="G35" s="60"/>
      <c r="H35" s="61"/>
      <c r="I35" s="7">
        <f>D35</f>
        <v>0</v>
      </c>
      <c r="J35" s="63"/>
      <c r="K35" s="8" t="s">
        <v>61</v>
      </c>
      <c r="L35" s="8" t="s">
        <v>61</v>
      </c>
      <c r="M35" s="9">
        <v>10</v>
      </c>
    </row>
    <row r="36" spans="1:13" ht="24" x14ac:dyDescent="0.25">
      <c r="A36" s="65"/>
      <c r="B36" s="47"/>
      <c r="C36" s="11" t="s">
        <v>28</v>
      </c>
      <c r="D36" s="59"/>
      <c r="E36" s="60"/>
      <c r="F36" s="60"/>
      <c r="G36" s="60"/>
      <c r="H36" s="61"/>
      <c r="I36" s="7">
        <f>D36</f>
        <v>0</v>
      </c>
      <c r="J36" s="63"/>
      <c r="K36" s="8" t="s">
        <v>51</v>
      </c>
      <c r="L36" s="8" t="s">
        <v>51</v>
      </c>
      <c r="M36" s="9">
        <v>10</v>
      </c>
    </row>
    <row r="37" spans="1:13" x14ac:dyDescent="0.25">
      <c r="A37" s="65"/>
      <c r="B37" s="47"/>
      <c r="C37" s="18" t="s">
        <v>18</v>
      </c>
      <c r="D37" s="59"/>
      <c r="E37" s="60"/>
      <c r="F37" s="60"/>
      <c r="G37" s="60"/>
      <c r="H37" s="61"/>
      <c r="I37" s="7">
        <f>D37</f>
        <v>0</v>
      </c>
      <c r="J37" s="63"/>
      <c r="K37" s="17"/>
      <c r="L37" s="17"/>
      <c r="M37" s="9">
        <v>5</v>
      </c>
    </row>
    <row r="38" spans="1:13" x14ac:dyDescent="0.25">
      <c r="A38" s="65"/>
      <c r="B38" s="47"/>
      <c r="C38" s="18" t="s">
        <v>19</v>
      </c>
      <c r="D38" s="59"/>
      <c r="E38" s="60"/>
      <c r="F38" s="60"/>
      <c r="G38" s="60"/>
      <c r="H38" s="61"/>
      <c r="I38" s="7">
        <f>D38</f>
        <v>0</v>
      </c>
      <c r="J38" s="64"/>
      <c r="K38" s="17" t="s">
        <v>48</v>
      </c>
      <c r="L38" s="17" t="s">
        <v>48</v>
      </c>
      <c r="M38" s="9">
        <v>5</v>
      </c>
    </row>
    <row r="39" spans="1:13" ht="24" x14ac:dyDescent="0.25">
      <c r="A39" s="65"/>
      <c r="B39" s="45" t="s">
        <v>63</v>
      </c>
      <c r="C39" s="6" t="s">
        <v>2</v>
      </c>
      <c r="D39" s="7"/>
      <c r="E39" s="7"/>
      <c r="F39" s="7"/>
      <c r="G39" s="7"/>
      <c r="H39" s="7"/>
      <c r="I39" s="7" t="e">
        <f t="shared" si="0"/>
        <v>#DIV/0!</v>
      </c>
      <c r="J39" s="56" t="e">
        <f>AVERAGE(((I39*M39)+(I40*M40)+(I41*M41)+(I42*M42)+(I43*M43)+(I44*M44)+(I45*M45) + (I46 * M46)) /100)</f>
        <v>#DIV/0!</v>
      </c>
      <c r="K39" s="8" t="s">
        <v>69</v>
      </c>
      <c r="L39" s="17" t="s">
        <v>48</v>
      </c>
      <c r="M39" s="9">
        <v>5</v>
      </c>
    </row>
    <row r="40" spans="1:13" ht="24" x14ac:dyDescent="0.25">
      <c r="A40" s="65"/>
      <c r="B40" s="45"/>
      <c r="C40" s="13" t="s">
        <v>10</v>
      </c>
      <c r="D40" s="12"/>
      <c r="E40" s="12"/>
      <c r="F40" s="12"/>
      <c r="G40" s="12"/>
      <c r="H40" s="12"/>
      <c r="I40" s="7" t="e">
        <f t="shared" si="0"/>
        <v>#DIV/0!</v>
      </c>
      <c r="J40" s="57"/>
      <c r="K40" s="8" t="s">
        <v>64</v>
      </c>
      <c r="L40" s="8" t="s">
        <v>64</v>
      </c>
      <c r="M40" s="9">
        <v>15</v>
      </c>
    </row>
    <row r="41" spans="1:13" x14ac:dyDescent="0.25">
      <c r="A41" s="65"/>
      <c r="B41" s="45"/>
      <c r="C41" s="13" t="s">
        <v>31</v>
      </c>
      <c r="D41" s="12"/>
      <c r="E41" s="12"/>
      <c r="F41" s="12"/>
      <c r="G41" s="12"/>
      <c r="H41" s="12"/>
      <c r="I41" s="7" t="e">
        <f t="shared" si="0"/>
        <v>#DIV/0!</v>
      </c>
      <c r="J41" s="57"/>
      <c r="K41" s="8" t="s">
        <v>48</v>
      </c>
      <c r="L41" s="8" t="s">
        <v>48</v>
      </c>
      <c r="M41" s="9">
        <v>15</v>
      </c>
    </row>
    <row r="42" spans="1:13" ht="36" x14ac:dyDescent="0.25">
      <c r="A42" s="65"/>
      <c r="B42" s="45"/>
      <c r="C42" s="13" t="s">
        <v>32</v>
      </c>
      <c r="D42" s="12"/>
      <c r="E42" s="12"/>
      <c r="F42" s="12"/>
      <c r="G42" s="12"/>
      <c r="H42" s="12"/>
      <c r="I42" s="7" t="e">
        <f t="shared" si="0"/>
        <v>#DIV/0!</v>
      </c>
      <c r="J42" s="57"/>
      <c r="K42" s="8" t="s">
        <v>11</v>
      </c>
      <c r="L42" s="8" t="s">
        <v>66</v>
      </c>
      <c r="M42" s="9">
        <v>25</v>
      </c>
    </row>
    <row r="43" spans="1:13" ht="36" x14ac:dyDescent="0.25">
      <c r="A43" s="65"/>
      <c r="B43" s="45"/>
      <c r="C43" s="18" t="s">
        <v>17</v>
      </c>
      <c r="D43" s="59"/>
      <c r="E43" s="60"/>
      <c r="F43" s="60"/>
      <c r="G43" s="60"/>
      <c r="H43" s="61"/>
      <c r="I43" s="7">
        <f>D43</f>
        <v>0</v>
      </c>
      <c r="J43" s="57"/>
      <c r="K43" s="8" t="s">
        <v>73</v>
      </c>
      <c r="L43" s="17" t="s">
        <v>51</v>
      </c>
      <c r="M43" s="9">
        <v>20</v>
      </c>
    </row>
    <row r="44" spans="1:13" ht="24" x14ac:dyDescent="0.25">
      <c r="A44" s="65"/>
      <c r="B44" s="45"/>
      <c r="C44" s="13" t="s">
        <v>33</v>
      </c>
      <c r="D44" s="59"/>
      <c r="E44" s="60"/>
      <c r="F44" s="60"/>
      <c r="G44" s="60"/>
      <c r="H44" s="61"/>
      <c r="I44" s="7">
        <f>D44</f>
        <v>0</v>
      </c>
      <c r="J44" s="57"/>
      <c r="K44" s="8" t="s">
        <v>76</v>
      </c>
      <c r="L44" s="8" t="s">
        <v>76</v>
      </c>
      <c r="M44" s="9">
        <v>10</v>
      </c>
    </row>
    <row r="45" spans="1:13" x14ac:dyDescent="0.25">
      <c r="A45" s="65"/>
      <c r="B45" s="45"/>
      <c r="C45" s="18" t="s">
        <v>18</v>
      </c>
      <c r="D45" s="59"/>
      <c r="E45" s="60"/>
      <c r="F45" s="60"/>
      <c r="G45" s="60"/>
      <c r="H45" s="61"/>
      <c r="I45" s="7">
        <f>D45</f>
        <v>0</v>
      </c>
      <c r="J45" s="57"/>
      <c r="K45" s="17"/>
      <c r="L45" s="17"/>
      <c r="M45" s="9">
        <v>5</v>
      </c>
    </row>
    <row r="46" spans="1:13" x14ac:dyDescent="0.25">
      <c r="A46" s="65"/>
      <c r="B46" s="45"/>
      <c r="C46" s="18" t="s">
        <v>19</v>
      </c>
      <c r="D46" s="59"/>
      <c r="E46" s="60"/>
      <c r="F46" s="60"/>
      <c r="G46" s="60"/>
      <c r="H46" s="61"/>
      <c r="I46" s="7">
        <f>D46</f>
        <v>0</v>
      </c>
      <c r="J46" s="58"/>
      <c r="K46" s="17" t="s">
        <v>48</v>
      </c>
      <c r="L46" s="17" t="s">
        <v>48</v>
      </c>
      <c r="M46" s="9">
        <v>5</v>
      </c>
    </row>
  </sheetData>
  <mergeCells count="33">
    <mergeCell ref="J13:J19"/>
    <mergeCell ref="J2:J7"/>
    <mergeCell ref="D6:H6"/>
    <mergeCell ref="D7:H7"/>
    <mergeCell ref="B8:B12"/>
    <mergeCell ref="J8:J12"/>
    <mergeCell ref="D12:H12"/>
    <mergeCell ref="D17:H17"/>
    <mergeCell ref="D18:H18"/>
    <mergeCell ref="D19:H19"/>
    <mergeCell ref="J20:J28"/>
    <mergeCell ref="D25:H25"/>
    <mergeCell ref="D26:H26"/>
    <mergeCell ref="D27:H27"/>
    <mergeCell ref="D28:H28"/>
    <mergeCell ref="A20:A46"/>
    <mergeCell ref="B20:B28"/>
    <mergeCell ref="A2:A19"/>
    <mergeCell ref="B2:B7"/>
    <mergeCell ref="B13:B19"/>
    <mergeCell ref="B29:B38"/>
    <mergeCell ref="B39:B46"/>
    <mergeCell ref="J29:J38"/>
    <mergeCell ref="D34:H34"/>
    <mergeCell ref="D35:H35"/>
    <mergeCell ref="D36:H36"/>
    <mergeCell ref="D37:H37"/>
    <mergeCell ref="D38:H38"/>
    <mergeCell ref="J39:J46"/>
    <mergeCell ref="D43:H43"/>
    <mergeCell ref="D44:H44"/>
    <mergeCell ref="D45:H45"/>
    <mergeCell ref="D46:H4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Menu</vt:lpstr>
      <vt:lpstr>Feuil2</vt:lpstr>
      <vt:lpstr>graphiques</vt:lpstr>
      <vt:lpstr>recapitulatif</vt:lpstr>
      <vt:lpstr>semestre1 (2)</vt:lpstr>
      <vt:lpstr>semestre1</vt:lpstr>
      <vt:lpstr>semestre2 (2)</vt:lpstr>
      <vt:lpstr>semestre2</vt:lpstr>
      <vt:lpstr>competence</vt:lpstr>
      <vt:lpstr>Semestre_1</vt:lpstr>
      <vt:lpstr>Semestre_2</vt:lpstr>
    </vt:vector>
  </TitlesOfParts>
  <Manager/>
  <Company>Universite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Amandine Maury</dc:creator>
  <cp:keywords/>
  <dc:description/>
  <cp:lastModifiedBy>Amandine Maury</cp:lastModifiedBy>
  <cp:revision/>
  <dcterms:created xsi:type="dcterms:W3CDTF">2025-12-11T11:00:32Z</dcterms:created>
  <dcterms:modified xsi:type="dcterms:W3CDTF">2025-12-19T13:35:55Z</dcterms:modified>
  <cp:category/>
  <cp:contentStatus/>
</cp:coreProperties>
</file>